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naconda\"/>
    </mc:Choice>
  </mc:AlternateContent>
  <xr:revisionPtr revIDLastSave="0" documentId="13_ncr:1_{787B4131-D6E4-4A71-AC54-AF66A1C58AEC}" xr6:coauthVersionLast="47" xr6:coauthVersionMax="47" xr10:uidLastSave="{00000000-0000-0000-0000-000000000000}"/>
  <bookViews>
    <workbookView xWindow="-110" yWindow="-110" windowWidth="19420" windowHeight="10300" activeTab="1" xr2:uid="{C87D9E0C-7AC0-4415-B557-C0237027E5AF}"/>
  </bookViews>
  <sheets>
    <sheet name="Summary" sheetId="2" r:id="rId1"/>
    <sheet name="Breakdown" sheetId="4" r:id="rId2"/>
  </sheets>
  <definedNames>
    <definedName name="_xlnm._FilterDatabase" localSheetId="1" hidden="1">Breakdown!$A$1:$I$256</definedName>
    <definedName name="_xlnm._FilterDatabase" localSheetId="0" hidden="1">Summary!$A$1:$B$255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" i="4"/>
  <c r="H2" i="4"/>
</calcChain>
</file>

<file path=xl/sharedStrings.xml><?xml version="1.0" encoding="utf-8"?>
<sst xmlns="http://schemas.openxmlformats.org/spreadsheetml/2006/main" count="773" uniqueCount="263">
  <si>
    <t>Row Labels</t>
  </si>
  <si>
    <t>High</t>
  </si>
  <si>
    <t>Low</t>
  </si>
  <si>
    <t>Medium</t>
  </si>
  <si>
    <t>Urgent</t>
  </si>
  <si>
    <t>V Low</t>
  </si>
  <si>
    <t>Grand Total</t>
  </si>
  <si>
    <t>Criticality</t>
  </si>
  <si>
    <t>Catering | Commercial Sanitary | Sink | Stainless Steel</t>
  </si>
  <si>
    <t>Communication and Control | Communication Systems | Public Address (PA) System</t>
  </si>
  <si>
    <t>Communication and Control | Emergency Communication Systems | Pull Cord/Alarm Switch</t>
  </si>
  <si>
    <t>Controls | Building Management System (BMS) | BMS Control Panel</t>
  </si>
  <si>
    <t>Controls | Building Management System (BMS) | Central Operating Station</t>
  </si>
  <si>
    <t>Controls | Multi-System Controls | Control Panel - Electrical Services (excluding Electrical Controllers and Pneumatic Relays)</t>
  </si>
  <si>
    <t>Controls | Multi-System Controls | Instrument Control Panel</t>
  </si>
  <si>
    <t>Controls | Multi-System Controls | Motor Control Centre (MCC)</t>
  </si>
  <si>
    <t>Controls | Multi-System Controls | Multi-Input Controllers</t>
  </si>
  <si>
    <t>Drainage | External Drainage | Surface Water and Foul Drainage | Pump Drainage-Dry Well</t>
  </si>
  <si>
    <t>Drainage | External Drainage | Surface Water and Foul Drainage | Pumps - Sewage: Compressed Air</t>
  </si>
  <si>
    <t>Drainage | Foul Drainage | Sump Pumps-Extended Shaft</t>
  </si>
  <si>
    <t>Electrical | Lighting | External | General - LED</t>
  </si>
  <si>
    <t>Electrical | Lighting | External | General - Non-LED</t>
  </si>
  <si>
    <t>Electrical | Lighting | Internal | Emergency | Externally Powered | LED</t>
  </si>
  <si>
    <t>Electrical | Lighting | Internal | Emergency | Externally Powered | Non LED</t>
  </si>
  <si>
    <t>Electrical | Lighting | Internal | Emergency | Self Contained | LED</t>
  </si>
  <si>
    <t>Electrical | Lighting | Internal | Emergency | Self Contained | Non LED</t>
  </si>
  <si>
    <t>Electrical | Lighting | Internal | General</t>
  </si>
  <si>
    <t>Electrical | Lighting | Internal | General | LED Fittings &amp; Luminaires</t>
  </si>
  <si>
    <t>Electrical | LV Distribution | Distribution Board | Main</t>
  </si>
  <si>
    <t>Electrical | LV Distribution | Distribution Board | Sub</t>
  </si>
  <si>
    <t>Electrical | LV Distribution | Electricity Meters</t>
  </si>
  <si>
    <t>Electrical | LV Distribution | Feeder Pillar</t>
  </si>
  <si>
    <t>Electrical | LV Distribution | LV Switch Panel</t>
  </si>
  <si>
    <t>Electrical | LV Distribution | Main Switch Panel at Supply Intake</t>
  </si>
  <si>
    <t>Electrical | Power Generation | External to Building | Large Solar Systems - Photovoltaic (PV) - Grid Connected</t>
  </si>
  <si>
    <t>Electrical | Power Generation | External to Building | Photovoltaics (External to the Building)</t>
  </si>
  <si>
    <t>Electrical | Power Generation | External to Building | Solar Collectors (External to the Building)</t>
  </si>
  <si>
    <t>Electrical | Power Generation | Internal | Photovoltaics (Connected to the Building)</t>
  </si>
  <si>
    <t>Electrical | Specialist Lighting | External | Illuminated External Signs</t>
  </si>
  <si>
    <t>Electrical | Specialist Lighting | Internal | Illuminated Fire Exit Signage</t>
  </si>
  <si>
    <t>Fabric | Barriers and Guardrails | Fixed Edge Protection</t>
  </si>
  <si>
    <t>Fabric | Barriers and Guardrails | Vehicle Crash Protection Barrier</t>
  </si>
  <si>
    <t>Fabric | Roads, Paths and Paving's | Galvanised Steel Access Platforms</t>
  </si>
  <si>
    <t>Fabric | Superstructure | Internal Doors | Fire Doors | Double</t>
  </si>
  <si>
    <t>Fabric | Superstructure | Internal Doors | Fire Doors | Internal Roller Shutter- Fire Rated</t>
  </si>
  <si>
    <t>Fabric | Superstructure | Internal Doors | Fire Doors | Single</t>
  </si>
  <si>
    <t>Fabric | Superstructure | Internal Doors | Roller Shutters | Automatic Fabric Roll Up Door</t>
  </si>
  <si>
    <t>Fabric | Superstructure | Internal Doors | Roller Shutters | Automatic Roller Shutter</t>
  </si>
  <si>
    <t>Fabric | Superstructure | Internal Doors | Roller Shutters | Electric Roller Shutter</t>
  </si>
  <si>
    <t>Fabric | Superstructure | Internal Doors | Roller Shutters | Internal Manual Roller Shutter</t>
  </si>
  <si>
    <t>Fabric | Superstructure | Internal Doors | Roller Shutters | Internal Manual Roller Shutter | 24 High x 25 Wide</t>
  </si>
  <si>
    <t>Fabric | Superstructure | Roof | Roof Features | Fall Arrest Systems | Cable and Track/Rail Based Safety Systems</t>
  </si>
  <si>
    <t>Fabric | Superstructure | Roof | Roof Lights, Skylights and Openings | Smoke vents | Smoke Relief-Natural Ventilators</t>
  </si>
  <si>
    <t>Fabric | Superstructure | Windows and External Doors | External Doors | Entrance Doors</t>
  </si>
  <si>
    <t>Fabric | Superstructure | Windows and External Doors | External Doors | Manual and Automatic Doors | Auto / Powered Bi-Fold Doors</t>
  </si>
  <si>
    <t>Fabric | Superstructure | Windows and External Doors | External Doors | Manual and Automatic Doors | Auto / Powered Sliding Doors</t>
  </si>
  <si>
    <t>Fabric | Superstructure | Windows and External Doors | External Doors | Manual and Automatic Doors | Auto / Powered Swing Doors</t>
  </si>
  <si>
    <t>Fabric | Superstructure | Windows and External Doors | External Doors | Manual and Automatic Doors | Emergency and Panic Escape Doors</t>
  </si>
  <si>
    <t>Fabric | Superstructure | Windows and External Doors | External Doors | Manual and Automatic Doors | High Security Door</t>
  </si>
  <si>
    <t>Fabric | Superstructure | Windows and External Doors | External Doors | Manual and Automatic Doors | Powered Bi-Fold Doors</t>
  </si>
  <si>
    <t>Fabric | Superstructure | Windows and External Doors | External Doors | Manual and Automatic Doors | Powered Sliding Doors (Push Pad)</t>
  </si>
  <si>
    <t>Fabric | Superstructure | Windows and External Doors | External Doors | Manual and Automatic Doors | Powered Swing Doors (Push Pad)</t>
  </si>
  <si>
    <t>Fabric | Superstructure | Windows and External Doors | External Windows | Roller Shutters | External Window Shutters | Electric</t>
  </si>
  <si>
    <t>Fabric | Superstructure | Windows and External Doors | External Windows | Roller Shutters | External Window Shutters | Manual</t>
  </si>
  <si>
    <t>Fabric | Superstructure | Windows and External Doors | Roller Shutters | Automatic Fabric Roll Up Door</t>
  </si>
  <si>
    <t>Fabric | Superstructure | Windows and External Doors | Roller Shutters | Automatic Roller Shutter</t>
  </si>
  <si>
    <t>Fabric | Superstructure | Windows and External Doors | Roller Shutters | Electric Roller Shutter</t>
  </si>
  <si>
    <t>Fabric | Superstructure | Windows and External Doors | Roller Shutters | Manual Roller Shutter</t>
  </si>
  <si>
    <t>Fabric | Superstructure | Windows and External Doors | Roller Shutters | Manual Roller Shutter | 24 High x 25 Wide</t>
  </si>
  <si>
    <t>FFE | Equipment | Domestic Kitchen | Fridge</t>
  </si>
  <si>
    <t>FFE | Equipment | Domestic Kitchen | Microwave</t>
  </si>
  <si>
    <t>FFE | Equipment | Domestic Kitchen | Sinks - Domestic Kitchen Stainless Steel</t>
  </si>
  <si>
    <t>Fire | Fire Detection | Fire Alarm - Voice Alarm Systems</t>
  </si>
  <si>
    <t>Fire | Fire Detection | Fire Alarm Panel / Repeater</t>
  </si>
  <si>
    <t>Fire | Fire Detection | Fire Alarm Panel / Repeater (Vesda)</t>
  </si>
  <si>
    <t>Fire | Fire Detection | Fire Alarm System</t>
  </si>
  <si>
    <t>Fire | Fire Detection | Fire Beacon/ Strobe</t>
  </si>
  <si>
    <t>Fire | Fire Detection | Fire Call Point / Break Glass BGU</t>
  </si>
  <si>
    <t>Fire | Fire Detection | Fire Heat Detector</t>
  </si>
  <si>
    <t>Fire | Fire Detection | Fire Smoke Detector | Ceiling/Wall Mounted</t>
  </si>
  <si>
    <t>Fire | Fire Detection | Fire Sounder</t>
  </si>
  <si>
    <t>Fire | Fire Fighting | Fire Blanket</t>
  </si>
  <si>
    <t>Fire | Fire Fighting | Fire Extinguishers | CO2</t>
  </si>
  <si>
    <t>Fire | Fire Fighting | Fire Extinguishers | Dry Chemical</t>
  </si>
  <si>
    <t>Fire | Fire Fighting | Fire Extinguishers | Foam</t>
  </si>
  <si>
    <t>Fire | Fire Fighting | Fire Extinguishers | Foam - P50</t>
  </si>
  <si>
    <t>Fire | Fire Fighting | Fire Extinguishers | Inert Gas</t>
  </si>
  <si>
    <t>Fire | Fire Fighting | Fire Extinguishers | Powder</t>
  </si>
  <si>
    <t>Fire | Fire Fighting | Fire Extinguishers | Powder - P50</t>
  </si>
  <si>
    <t>Fire | Fire Fighting | Fire Extinguishers | Water</t>
  </si>
  <si>
    <t>Fire | Fire Fighting | Fire Extinguishers | Water Mist - P50</t>
  </si>
  <si>
    <t>Fire | Fire Fighting | Fire Extinguishers | Water Pressure</t>
  </si>
  <si>
    <t>Fire | Fire Fighting | Fire Extinguishers | Wet Chemical</t>
  </si>
  <si>
    <t>Fire | Fire suppression systems | Sprinkler System | Break Tank | Plastic or non metallic</t>
  </si>
  <si>
    <t>Fire | Fire suppression systems | Sprinkler System | Control Panel</t>
  </si>
  <si>
    <t>Fuel | Distribution Systems | External Storage | Pumps | Fuel Transfer Pump - Diesel</t>
  </si>
  <si>
    <t>Fuel | Distribution Systems | Internal Storage | Gas Meters</t>
  </si>
  <si>
    <t>Fuel | Distribution Systems | Internal Storage | Pumps | Fuel Transfer Pump - Diesel</t>
  </si>
  <si>
    <t>Fuel | Distribution Systems | Internal Storage | Pumps | Fuel Transfer Pump - Oil</t>
  </si>
  <si>
    <t>HVAC | Central Air Conditioning | Air Conditioning | Multi-Split Condenser - DX Split Systems (With Gas, Electric or Hot Water Heaters)</t>
  </si>
  <si>
    <t>HVAC | Central Air Conditioning | Air Conditioning | Multi-Split Condenser - Split Systems/Heat Pumps - Air-cooled with Direct Expansion Evaporator (DX)</t>
  </si>
  <si>
    <t>HVAC | Central Air Conditioning | Air Conditioning | Multi-Split Evaporator - DX Split Systems (With Gas, Electric or Hot Water Heaters)</t>
  </si>
  <si>
    <t>HVAC | Central Air Conditioning | Air Conditioning | Multi-Split Evaporator - Split Systems/Heat Pumps - Air-cooled with Direct Expansion Evaporator (DX)</t>
  </si>
  <si>
    <t>HVAC | Central Cooling | Pressurisation Unit</t>
  </si>
  <si>
    <t>HVAC | Central Heating (Internally Sourced) | Boiler | Atmospheric Gas Burner - Condensing Boiler</t>
  </si>
  <si>
    <t>HVAC | Central Heating (Internally Sourced) | Boiler | Atmospheric Gas Burner - Free Standing Boiler</t>
  </si>
  <si>
    <t>HVAC | Central Heating (Internally Sourced) | Boiler | Atmospheric Gas Burner Boiler - Small and/or Wall Hung for Domestic Installation</t>
  </si>
  <si>
    <t>HVAC | Central Heating (Internally Sourced) | Boiler | Atmospheric Gas Burner Boiler - Small and/or Wall Hung for Light Commercial Installation</t>
  </si>
  <si>
    <t>HVAC | Central Heating (Internally Sourced) | Boiler | Atmospheric Gas Burner/Condensing Combination Boiler</t>
  </si>
  <si>
    <t>HVAC | Central Heating (Internally Sourced) | Boiler | Atmospheric Gas Burner/Condensing Combination Boiler (domestic type)</t>
  </si>
  <si>
    <t>HVAC | Central Heating (Internally Sourced) | Boiler | Blown Gas Burner Condensing Boiler</t>
  </si>
  <si>
    <t>HVAC | Central Heating (Internally Sourced) | Boiler | Blown Gas Burner Modular Boiler</t>
  </si>
  <si>
    <t>HVAC | Central Heating (Internally Sourced) | Boiler | Boiler MTHW Commercial</t>
  </si>
  <si>
    <t>HVAC | Central Heating (Internally Sourced) | Boiler | Boiler Superheaters Commercial</t>
  </si>
  <si>
    <t>HVAC | Central Heating (Internally Sourced) | Boiler | Boilers LTHW Commercial</t>
  </si>
  <si>
    <t>HVAC | Central Heating (Internally Sourced) | Boiler | Burner Forced Draught [Pressure Jet] Oil</t>
  </si>
  <si>
    <t>HVAC | Central Heating (Internally Sourced) | Boiler | Combination Atmospheric Burner Gas Boiler</t>
  </si>
  <si>
    <t>HVAC | Central Heating (Internally Sourced) | Boiler | Electric Boilers</t>
  </si>
  <si>
    <t>HVAC | Central Heating (Internally Sourced) | Boiler | Electrode Boilers</t>
  </si>
  <si>
    <t>HVAC | Central Heating (Internally Sourced) | Burner | Atmospheric Gas Burner</t>
  </si>
  <si>
    <t>HVAC | Central Heating (Internally Sourced) | Burner | Blown gas burner</t>
  </si>
  <si>
    <t>HVAC | Central Heating (Internally Sourced) | Burner | Forced draft gas burner</t>
  </si>
  <si>
    <t>HVAC | Central Heating (Internally Sourced) | Burner | Forced Draught Gas Condensing Boiler</t>
  </si>
  <si>
    <t>HVAC | Central Heating (Internally Sourced) | Burner | Gas/Oil Burner-Dual fuel</t>
  </si>
  <si>
    <t>HVAC | Central Heating (Internally Sourced) | Burner | Light oil vaporising pot burner</t>
  </si>
  <si>
    <t>HVAC | Central Heating (Internally Sourced) | Heat Exchangers | Heat Reclaim Unit (Lossnay Type)</t>
  </si>
  <si>
    <t>HVAC | Central Heating (Internally Sourced) | Heat Pumps | Water to Water</t>
  </si>
  <si>
    <t>HVAC | Central Heating (Internally Sourced) | Pressurisation Unit | Gas/Oil Fired Heating System</t>
  </si>
  <si>
    <t>HVAC | Ductwork | Ductwork, Fittings and Ancillaries | Central Ventilation Systems | Fire Dampers | Automatic</t>
  </si>
  <si>
    <t>HVAC | Ductwork | Ductwork, Fittings and Ancillaries | Central Ventilation Systems | Fire Dampers | Fusible Link</t>
  </si>
  <si>
    <t>HVAC | Ductwork | Ductwork, Fittings and Ancillaries | Central Ventilation Systems | Fire Dampers | Manual</t>
  </si>
  <si>
    <t>HVAC | Fan | Central Air Conditioning | Axial</t>
  </si>
  <si>
    <t>HVAC | Fan | Central Air Conditioning | Centrifugal</t>
  </si>
  <si>
    <t>HVAC | Fan | Central Air Conditioning | Extract</t>
  </si>
  <si>
    <t>HVAC | Fan | Central Air Conditioning | Ventilating - General</t>
  </si>
  <si>
    <t>HVAC | Fan | Central Cooling | Axial</t>
  </si>
  <si>
    <t>HVAC | Fan | Central Cooling | Centrifugal</t>
  </si>
  <si>
    <t>HVAC | Fan | Central Cooling | Ventilating - General</t>
  </si>
  <si>
    <t>HVAC | Fan | Central Heating &amp; Cooling | Axial</t>
  </si>
  <si>
    <t>HVAC | Fan | Central Heating &amp; Cooling | Bifurcated</t>
  </si>
  <si>
    <t>HVAC | Fan | Central Heating &amp; Cooling | Mixed Flow</t>
  </si>
  <si>
    <t>HVAC | Fan | Central Heating &amp; Cooling | Ventilating - General</t>
  </si>
  <si>
    <t>HVAC | Fan | Central Heating | Axial</t>
  </si>
  <si>
    <t>HVAC | Fan | Central Heating | Extract</t>
  </si>
  <si>
    <t>HVAC | Fan | Central Heating | Mixed Flow</t>
  </si>
  <si>
    <t>HVAC | Fan | Central Heating | Ventilating - General</t>
  </si>
  <si>
    <t>HVAC | Fan | Central Ventilation Systems | Axial</t>
  </si>
  <si>
    <t>HVAC | Fan | Central Ventilation Systems | Bifurcated</t>
  </si>
  <si>
    <t>HVAC | Fan | Central Ventilation Systems | Centrifugal</t>
  </si>
  <si>
    <t>HVAC | Fan | Central Ventilation Systems | Extract</t>
  </si>
  <si>
    <t>HVAC | Fan | Central Ventilation Systems | Mixed Flow</t>
  </si>
  <si>
    <t>HVAC | Fan | Central Ventilation Systems | Ventilating - General</t>
  </si>
  <si>
    <t>HVAC | Fan | Local and Special Ventilation | Axial</t>
  </si>
  <si>
    <t>HVAC | Fan | Local and Special Ventilation | Bifurcated</t>
  </si>
  <si>
    <t>HVAC | Fan | Local and Special Ventilation | Centrifugal</t>
  </si>
  <si>
    <t>HVAC | Fan | Local and Special Ventilation | Extract</t>
  </si>
  <si>
    <t>HVAC | Fan | Local and Special Ventilation | Extract Fans - Twin Toilet</t>
  </si>
  <si>
    <t>HVAC | Fan | Local and Special Ventilation | Fans Window or Wall Mounted</t>
  </si>
  <si>
    <t>HVAC | Fan | Local and Special Ventilation | Hazardous Area Extract Fan</t>
  </si>
  <si>
    <t>HVAC | Fan | Local and Special Ventilation | Kitchen Vent | Axial</t>
  </si>
  <si>
    <t>HVAC | Fan | Local and Special Ventilation | Kitchen Vent | Extract</t>
  </si>
  <si>
    <t>HVAC | Fan | Local and Special Ventilation | Kitchen Vent | Fans Window or Wall Mounted</t>
  </si>
  <si>
    <t>HVAC | Fan | Local and Special Ventilation | Kitchen Vent | Mixed Flow</t>
  </si>
  <si>
    <t>HVAC | Fan | Local and Special Ventilation | Kitchen Vent | Ventilating - General</t>
  </si>
  <si>
    <t>HVAC | Fan | Local and Special Ventilation | Mixed Flow</t>
  </si>
  <si>
    <t>HVAC | Fan | Local and Special Ventilation | Ventilating - General</t>
  </si>
  <si>
    <t>HVAC | Fan | Smoke Extract</t>
  </si>
  <si>
    <t>HVAC | Fan | Smoke Extract | Powered Pressurisation Fan Systems</t>
  </si>
  <si>
    <t>HVAC | Heat Emitters - Central | LTHW Overdoor Air Curtain/Heater</t>
  </si>
  <si>
    <t>HVAC | Heat Emitters - Central | Radiators | Aluminium</t>
  </si>
  <si>
    <t>HVAC | Heat Emitters - Central | Radiators | Steel</t>
  </si>
  <si>
    <t>HVAC | Heat Emitters - Central | Unit Heaters</t>
  </si>
  <si>
    <t>HVAC | Heat Emitters - Local | Electric Heaters</t>
  </si>
  <si>
    <t>HVAC | Heat Emitters - Local | Electric Overdoor Air Curtain/Heater</t>
  </si>
  <si>
    <t>HVAC | Heat Emitters - Local | Fan Convector - Electric</t>
  </si>
  <si>
    <t>HVAC | Heat Emitters - Local | Gas Fired Ceramic Plaque Infra-Red Heaters</t>
  </si>
  <si>
    <t>HVAC | Heat Emitters - Local | Gas Fired Natural and Fan Assisted Heaters</t>
  </si>
  <si>
    <t>HVAC | Heat Emitters - Local | Gas Fired Radiant Heaters</t>
  </si>
  <si>
    <t>HVAC | Heat Emitters - Local | Gas Fired Unit Heaters</t>
  </si>
  <si>
    <t>HVAC | Heat Emitters - Local | Gas Radiant Tube Heaters</t>
  </si>
  <si>
    <t>HVAC | Heat Emitters - Local | Oil Fired Natural and Fan Assisted Heaters</t>
  </si>
  <si>
    <t>HVAC | Heat Emitters - Local | Oil Fired Unit Heaters</t>
  </si>
  <si>
    <t>HVAC | Local Air Conditioning | Single-Split Condenser - Split Systems/Heat Pumps - Air-cooled with Direct Expansion Evaporator (DX)</t>
  </si>
  <si>
    <t>HVAC | Local Air Conditioning | Single-Split Evaporator - Split Systems/Heat Pumps - Air-cooled with Direct Expansion Evaporator (DX)</t>
  </si>
  <si>
    <t>HVAC | Local and Special Ventilation | Unit extract fans.</t>
  </si>
  <si>
    <t>HVAC | Pump | Central Heating (Internally Sourced) | Circulating</t>
  </si>
  <si>
    <t>HVAC | Pump | Central Heating (Internally Sourced) | Condensate Pumps</t>
  </si>
  <si>
    <t>HVAC | Pump | Central Heating (Internally Sourced) | General</t>
  </si>
  <si>
    <t>HVAC | Smoke Extract | Control Panel - smoke ventilation systems.</t>
  </si>
  <si>
    <t>HVAC | Ventilation | Air Handling Unit (AHU) | External | Central Air Conditioning | DX Cooling</t>
  </si>
  <si>
    <t>HVAC | Ventilation | Air Handling Unit (AHU) | External | Central Air Conditioning | Electric &amp; DX</t>
  </si>
  <si>
    <t>HVAC | Ventilation | Air Handling Unit (AHU) | External | Central Air Conditioning | Gas Fired</t>
  </si>
  <si>
    <t>HVAC | Ventilation | Air Handling Unit (AHU) | External | Central Cooling | CHW Cooling</t>
  </si>
  <si>
    <t>HVAC | Ventilation | Air Handling Unit (AHU) | External | Central Heating &amp; Cooling | Electric &amp; DX</t>
  </si>
  <si>
    <t>HVAC | Ventilation | Air Handling Unit (AHU) | External | Central Heating (Externally Sourced) | Gas Fired</t>
  </si>
  <si>
    <t>HVAC | Ventilation | Air Handling Unit (AHU) | Internal | Central Air Conditioning | DX Cooling</t>
  </si>
  <si>
    <t>HVAC | Ventilation | Air Handling Unit (AHU) | Internal | Central Air Conditioning | Electric &amp; DX</t>
  </si>
  <si>
    <t>HVAC | Ventilation | Air Handling Unit (AHU) | Internal | Central Air Conditioning | Electric Heating</t>
  </si>
  <si>
    <t>HVAC | Ventilation | Air Handling Unit (AHU) | Internal | Central Air Conditioning | Gas Fired</t>
  </si>
  <si>
    <t>HVAC | Ventilation | Air Handling Unit (AHU) | Internal | Central Cooling | CHW Cooling</t>
  </si>
  <si>
    <t>HVAC | Ventilation | Air Handling Unit (AHU) | Internal | Central Heating &amp; Cooling | Electric &amp; CHW</t>
  </si>
  <si>
    <t>HVAC | Ventilation | Air Handling Unit (AHU) | Internal | Central Heating &amp; Cooling | Electric &amp; DX</t>
  </si>
  <si>
    <t>HVAC | Ventilation | Air Handling Unit (AHU) | Internal | Central Heating &amp; Cooling | LTHW &amp; CHW</t>
  </si>
  <si>
    <t>HVAC | Ventilation | Air Handling Unit (AHU) | Internal | Central Heating &amp; Cooling | LTHW &amp; DX</t>
  </si>
  <si>
    <t>HVAC | Ventilation | Air Handling Unit (AHU) | Internal | Central Heating (Externally Sourced) | Gas Fired</t>
  </si>
  <si>
    <t>HVAC | Ventilation | Air Handling Unit (AHU) | Internal | Central Heating (Internally Sourced) | Electric Heating</t>
  </si>
  <si>
    <t>HVAC | Ventilation | Air Handling Unit (AHU) | Internal | Central Heating (Internally Sourced) | Gas Fired</t>
  </si>
  <si>
    <t>HVAC | Ventilation | Air Handling Unit (AHU) | Internal | Central Ventilation Systems | Ventilation Only</t>
  </si>
  <si>
    <t>Lightning Protection | System</t>
  </si>
  <si>
    <t>Sanitary | Cleaners Sinks | Vitreous china/fireclay/uPVC</t>
  </si>
  <si>
    <t>Sanitary | Hand Dryers | Standard</t>
  </si>
  <si>
    <t>Sanitary | Shower | Pumps | Showers Booster Pumps</t>
  </si>
  <si>
    <t>Sanitary | Sinks / basins | Vitreous china/fireclay/uPVC</t>
  </si>
  <si>
    <t>Sanitary | WC Toilet Disabled / All Types | Vitreous china/fireclay/uPVC</t>
  </si>
  <si>
    <t>Sanitary | WC Toilet Standard / All Types | Vitreous china/fireclay/uPVC</t>
  </si>
  <si>
    <t>Security | Access | Access Control | Coded Entry (Internal)</t>
  </si>
  <si>
    <t>Security | Access | Access Control | Door | Local Lock / Keypad / Manual</t>
  </si>
  <si>
    <t>Security | Access | Access Control | Gate Access - Local Lock / Keypad / Manual (External)</t>
  </si>
  <si>
    <t>Security | Barriers and Guardrails | Automatic Vehicle Raising Bollard</t>
  </si>
  <si>
    <t>Security | Barriers and Guardrails | Manual Vehicle Barrier</t>
  </si>
  <si>
    <t>Security | Barriers and Guardrails | Security Controlled Barrier</t>
  </si>
  <si>
    <t>Security | Security Systems | CCTV | Digital Recorder</t>
  </si>
  <si>
    <t>Security | Security Systems | CCTV | External | Camera | Fixed Dome</t>
  </si>
  <si>
    <t>Security | Security Systems | CCTV | Internal | Camera | Bullet</t>
  </si>
  <si>
    <t>Security | Security Systems | CCTV | Internal | Camera | Fixed Dome</t>
  </si>
  <si>
    <t>Security | Security Systems | CCTV | Internal | Camera | PTZ Dome</t>
  </si>
  <si>
    <t>Security | Security Systems | CCTV | Monitors</t>
  </si>
  <si>
    <t>Security | Security Systems | Intruder Systems | Intruder Alarms</t>
  </si>
  <si>
    <t>Security | Security Systems | Personal Protection | Personal Attack Alarm System</t>
  </si>
  <si>
    <t>Special Installations | Specialist Piped Systems | Air Compressors | Air Compressors</t>
  </si>
  <si>
    <t>Transport | Dock and scissor lifts | Dock Levellers</t>
  </si>
  <si>
    <t>Transport | Lifts | Disabled Lift | Electric</t>
  </si>
  <si>
    <t>Transport | Lifts | Disabled Lift | Hydraulic</t>
  </si>
  <si>
    <t>Transport | Lifts | Document Lift - Complete Installation | Electric</t>
  </si>
  <si>
    <t>Transport | Lifts | Document Lift - Complete Installation | Traction</t>
  </si>
  <si>
    <t>Transport | Lifts | Document Lift | Electric</t>
  </si>
  <si>
    <t>Transport | Lifts | Goods Lift electric | Electric</t>
  </si>
  <si>
    <t>Transport | Lifts | Passenger Lift electric | Electric</t>
  </si>
  <si>
    <t>Transport | Lifts | Passenger Lift Hydraulic | Hydraulic</t>
  </si>
  <si>
    <t>Transport | Lifts | Passenger Lift Traction | Traction</t>
  </si>
  <si>
    <t>Transport | Lifts | Scissor Lift</t>
  </si>
  <si>
    <t>Transport | Lifts | Wheel Chair Lift</t>
  </si>
  <si>
    <t>Water | Central Cold Water Distribution | Pressurisation Unit</t>
  </si>
  <si>
    <t>Water | Central Hot Water Distribution | Calorifier-LTHW | Copper</t>
  </si>
  <si>
    <t>Water | Central Hot Water Distribution | Calorifier-LTHW | Steel, Galvanised</t>
  </si>
  <si>
    <t>Water | Central Hot Water Distribution | Direct fired Water Heaters</t>
  </si>
  <si>
    <t>Water | Central Hot Water Distribution | Expansion Vessels | Closed (with membrane)</t>
  </si>
  <si>
    <t>Water | Central Hot Water Distribution | Hot water cylinders</t>
  </si>
  <si>
    <t>Water | Central Hot Water Distribution | Hot water cylinders Domestic Type</t>
  </si>
  <si>
    <t>Water | Central Hot Water Distribution | Pressurisation Unit</t>
  </si>
  <si>
    <t>Water | Central Hot Water Distribution | Pumps | Centrifugal</t>
  </si>
  <si>
    <t>Water | Central Hot Water Distribution | Pumps | Domestic Water Accelerators</t>
  </si>
  <si>
    <t>Water | Central Hot Water Distribution | Pumps | Secondary Hot Water Circulating</t>
  </si>
  <si>
    <t>Water | Cold Water Distribution | Water Pumping Pressure Boosting Set</t>
  </si>
  <si>
    <t>Water | Hot Water Distribution | Tank | Break Tank and Pump (Fluid Category 5 Backflow Protection)</t>
  </si>
  <si>
    <t>Water | Local Hot Water | Electric Water Heater - Drinking Water | Instantaneous Potable Combination Hot, Chilled and Carbonated Water Tap (Fluorinated Gas)</t>
  </si>
  <si>
    <t>Water | Local Hot Water | Electric Water Heater - Drinking Water | Instantaneous Potable Combination Hot, Chilled and Carbonated Water Tap (Non-Fluorinated Gas)</t>
  </si>
  <si>
    <t>Water | Local Hot Water | Electric Water Heater - Drinking Water | Non-Pressurised</t>
  </si>
  <si>
    <t>Water | Local Hot Water | Electric Water Heater - Drinking Water | Pressurised</t>
  </si>
  <si>
    <t>Water | Local Hot Water | Instantaneous Electric Water Heater - Non-Drinking Water</t>
  </si>
  <si>
    <t>Water | Local Hot Water | Package Electric Water Heaters - Non-Drinking Water</t>
  </si>
  <si>
    <t>Water | Mains Water Supply | Water Meters - Utility</t>
  </si>
  <si>
    <t>System Full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</si>
</sst>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0" fontId="2" fillId="0" borderId="0" xfId="1" applyFont="1"/>
    <xf numFmtId="0" fontId="2" fillId="0" borderId="0" xfId="1" applyFont="1" applyAlignment="1">
      <alignment horizontal="center"/>
    </xf>
    <xf numFmtId="0" fontId="3" fillId="0" borderId="0" xfId="0" applyFont="1"/>
    <xf numFmtId="0" fontId="0" fillId="2" borderId="0" xfId="0" applyFill="1"/>
  </cellXfs>
  <cellStyles count="2">
    <cellStyle name="Normal" xfId="0" builtinId="0"/>
    <cellStyle name="Normal 2" xfId="1" xr:uid="{6125571B-6CEB-4DD6-AD62-EE3A200B86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8DA0F-C70B-46EE-9F55-06C1582F18EB}">
  <dimension ref="A1:B255"/>
  <sheetViews>
    <sheetView workbookViewId="0">
      <selection activeCell="A256" sqref="A256:XFD256"/>
    </sheetView>
  </sheetViews>
  <sheetFormatPr defaultRowHeight="14.5" x14ac:dyDescent="0.35"/>
  <cols>
    <col min="1" max="1" width="104.25" style="2" customWidth="1"/>
    <col min="2" max="16384" width="8.6640625" style="2"/>
  </cols>
  <sheetData>
    <row r="1" spans="1:2" x14ac:dyDescent="0.35">
      <c r="A1" s="3" t="s">
        <v>262</v>
      </c>
      <c r="B1" s="4" t="s">
        <v>7</v>
      </c>
    </row>
    <row r="2" spans="1:2" ht="15.5" x14ac:dyDescent="0.35">
      <c r="A2" t="s">
        <v>8</v>
      </c>
      <c r="B2" t="s">
        <v>3</v>
      </c>
    </row>
    <row r="3" spans="1:2" ht="15.5" x14ac:dyDescent="0.35">
      <c r="A3" t="s">
        <v>9</v>
      </c>
      <c r="B3" t="s">
        <v>3</v>
      </c>
    </row>
    <row r="4" spans="1:2" ht="15.5" x14ac:dyDescent="0.35">
      <c r="A4" t="s">
        <v>10</v>
      </c>
      <c r="B4" t="s">
        <v>4</v>
      </c>
    </row>
    <row r="5" spans="1:2" ht="15.5" x14ac:dyDescent="0.35">
      <c r="A5" t="s">
        <v>11</v>
      </c>
      <c r="B5" t="s">
        <v>1</v>
      </c>
    </row>
    <row r="6" spans="1:2" ht="15.5" x14ac:dyDescent="0.35">
      <c r="A6" t="s">
        <v>12</v>
      </c>
      <c r="B6" t="s">
        <v>1</v>
      </c>
    </row>
    <row r="7" spans="1:2" ht="15.5" x14ac:dyDescent="0.35">
      <c r="A7" t="s">
        <v>13</v>
      </c>
      <c r="B7" t="s">
        <v>3</v>
      </c>
    </row>
    <row r="8" spans="1:2" ht="15.5" x14ac:dyDescent="0.35">
      <c r="A8" t="s">
        <v>14</v>
      </c>
      <c r="B8" t="s">
        <v>3</v>
      </c>
    </row>
    <row r="9" spans="1:2" ht="15.5" x14ac:dyDescent="0.35">
      <c r="A9" t="s">
        <v>15</v>
      </c>
      <c r="B9" t="s">
        <v>2</v>
      </c>
    </row>
    <row r="10" spans="1:2" ht="15.5" x14ac:dyDescent="0.35">
      <c r="A10" t="s">
        <v>16</v>
      </c>
      <c r="B10" t="s">
        <v>3</v>
      </c>
    </row>
    <row r="11" spans="1:2" ht="15.5" x14ac:dyDescent="0.35">
      <c r="A11" t="s">
        <v>17</v>
      </c>
      <c r="B11" t="s">
        <v>1</v>
      </c>
    </row>
    <row r="12" spans="1:2" ht="15.5" x14ac:dyDescent="0.35">
      <c r="A12" t="s">
        <v>18</v>
      </c>
      <c r="B12" t="s">
        <v>1</v>
      </c>
    </row>
    <row r="13" spans="1:2" ht="15.5" x14ac:dyDescent="0.35">
      <c r="A13" t="s">
        <v>19</v>
      </c>
      <c r="B13" t="s">
        <v>1</v>
      </c>
    </row>
    <row r="14" spans="1:2" ht="15.5" x14ac:dyDescent="0.35">
      <c r="A14" t="s">
        <v>20</v>
      </c>
      <c r="B14" t="s">
        <v>3</v>
      </c>
    </row>
    <row r="15" spans="1:2" ht="15.5" x14ac:dyDescent="0.35">
      <c r="A15" t="s">
        <v>21</v>
      </c>
      <c r="B15" t="s">
        <v>3</v>
      </c>
    </row>
    <row r="16" spans="1:2" ht="15.5" x14ac:dyDescent="0.35">
      <c r="A16" t="s">
        <v>22</v>
      </c>
      <c r="B16" t="s">
        <v>4</v>
      </c>
    </row>
    <row r="17" spans="1:2" ht="15.5" x14ac:dyDescent="0.35">
      <c r="A17" t="s">
        <v>23</v>
      </c>
      <c r="B17" t="s">
        <v>4</v>
      </c>
    </row>
    <row r="18" spans="1:2" ht="15.5" x14ac:dyDescent="0.35">
      <c r="A18" t="s">
        <v>24</v>
      </c>
      <c r="B18" t="s">
        <v>4</v>
      </c>
    </row>
    <row r="19" spans="1:2" ht="15.5" x14ac:dyDescent="0.35">
      <c r="A19" t="s">
        <v>25</v>
      </c>
      <c r="B19" t="s">
        <v>4</v>
      </c>
    </row>
    <row r="20" spans="1:2" ht="15.5" x14ac:dyDescent="0.35">
      <c r="A20" t="s">
        <v>26</v>
      </c>
      <c r="B20" t="s">
        <v>3</v>
      </c>
    </row>
    <row r="21" spans="1:2" ht="15.5" x14ac:dyDescent="0.35">
      <c r="A21" t="s">
        <v>27</v>
      </c>
      <c r="B21" t="s">
        <v>3</v>
      </c>
    </row>
    <row r="22" spans="1:2" ht="15.5" x14ac:dyDescent="0.35">
      <c r="A22" t="s">
        <v>28</v>
      </c>
      <c r="B22" t="s">
        <v>1</v>
      </c>
    </row>
    <row r="23" spans="1:2" ht="15.5" x14ac:dyDescent="0.35">
      <c r="A23" t="s">
        <v>29</v>
      </c>
      <c r="B23" t="s">
        <v>1</v>
      </c>
    </row>
    <row r="24" spans="1:2" ht="15.5" x14ac:dyDescent="0.35">
      <c r="A24" t="s">
        <v>30</v>
      </c>
      <c r="B24" t="s">
        <v>3</v>
      </c>
    </row>
    <row r="25" spans="1:2" ht="15.5" x14ac:dyDescent="0.35">
      <c r="A25" t="s">
        <v>31</v>
      </c>
      <c r="B25" t="s">
        <v>4</v>
      </c>
    </row>
    <row r="26" spans="1:2" ht="15.5" x14ac:dyDescent="0.35">
      <c r="A26" t="s">
        <v>32</v>
      </c>
      <c r="B26" t="s">
        <v>1</v>
      </c>
    </row>
    <row r="27" spans="1:2" ht="15.5" x14ac:dyDescent="0.35">
      <c r="A27" t="s">
        <v>33</v>
      </c>
      <c r="B27" t="s">
        <v>3</v>
      </c>
    </row>
    <row r="28" spans="1:2" ht="15.5" x14ac:dyDescent="0.35">
      <c r="A28" t="s">
        <v>34</v>
      </c>
      <c r="B28" t="s">
        <v>2</v>
      </c>
    </row>
    <row r="29" spans="1:2" ht="15.5" x14ac:dyDescent="0.35">
      <c r="A29" t="s">
        <v>35</v>
      </c>
      <c r="B29" t="s">
        <v>3</v>
      </c>
    </row>
    <row r="30" spans="1:2" ht="15.5" x14ac:dyDescent="0.35">
      <c r="A30" t="s">
        <v>36</v>
      </c>
      <c r="B30" t="s">
        <v>2</v>
      </c>
    </row>
    <row r="31" spans="1:2" ht="15.5" x14ac:dyDescent="0.35">
      <c r="A31" t="s">
        <v>37</v>
      </c>
      <c r="B31" t="s">
        <v>3</v>
      </c>
    </row>
    <row r="32" spans="1:2" ht="15.5" x14ac:dyDescent="0.35">
      <c r="A32" t="s">
        <v>38</v>
      </c>
      <c r="B32" t="s">
        <v>3</v>
      </c>
    </row>
    <row r="33" spans="1:2" ht="15.5" x14ac:dyDescent="0.35">
      <c r="A33" t="s">
        <v>39</v>
      </c>
      <c r="B33" t="s">
        <v>4</v>
      </c>
    </row>
    <row r="34" spans="1:2" ht="15.5" x14ac:dyDescent="0.35">
      <c r="A34" t="s">
        <v>40</v>
      </c>
      <c r="B34" t="s">
        <v>1</v>
      </c>
    </row>
    <row r="35" spans="1:2" ht="15.5" x14ac:dyDescent="0.35">
      <c r="A35" t="s">
        <v>41</v>
      </c>
      <c r="B35" t="s">
        <v>5</v>
      </c>
    </row>
    <row r="36" spans="1:2" ht="15.5" x14ac:dyDescent="0.35">
      <c r="A36" t="s">
        <v>42</v>
      </c>
      <c r="B36" t="s">
        <v>1</v>
      </c>
    </row>
    <row r="37" spans="1:2" ht="15.5" x14ac:dyDescent="0.35">
      <c r="A37" t="s">
        <v>43</v>
      </c>
      <c r="B37" t="s">
        <v>4</v>
      </c>
    </row>
    <row r="38" spans="1:2" ht="15.5" x14ac:dyDescent="0.35">
      <c r="A38" t="s">
        <v>44</v>
      </c>
      <c r="B38" t="s">
        <v>4</v>
      </c>
    </row>
    <row r="39" spans="1:2" ht="15.5" x14ac:dyDescent="0.35">
      <c r="A39" t="s">
        <v>45</v>
      </c>
      <c r="B39" t="s">
        <v>4</v>
      </c>
    </row>
    <row r="40" spans="1:2" ht="15.5" x14ac:dyDescent="0.35">
      <c r="A40" t="s">
        <v>46</v>
      </c>
      <c r="B40" t="s">
        <v>1</v>
      </c>
    </row>
    <row r="41" spans="1:2" ht="15.5" x14ac:dyDescent="0.35">
      <c r="A41" t="s">
        <v>47</v>
      </c>
      <c r="B41" t="s">
        <v>1</v>
      </c>
    </row>
    <row r="42" spans="1:2" ht="15.5" x14ac:dyDescent="0.35">
      <c r="A42" t="s">
        <v>48</v>
      </c>
      <c r="B42" t="s">
        <v>3</v>
      </c>
    </row>
    <row r="43" spans="1:2" ht="15.5" x14ac:dyDescent="0.35">
      <c r="A43" t="s">
        <v>49</v>
      </c>
      <c r="B43" t="s">
        <v>3</v>
      </c>
    </row>
    <row r="44" spans="1:2" ht="15.5" x14ac:dyDescent="0.35">
      <c r="A44" t="s">
        <v>50</v>
      </c>
      <c r="B44" t="s">
        <v>3</v>
      </c>
    </row>
    <row r="45" spans="1:2" ht="15.5" x14ac:dyDescent="0.35">
      <c r="A45" t="s">
        <v>51</v>
      </c>
      <c r="B45" t="s">
        <v>1</v>
      </c>
    </row>
    <row r="46" spans="1:2" ht="15.5" x14ac:dyDescent="0.35">
      <c r="A46" t="s">
        <v>52</v>
      </c>
      <c r="B46" t="s">
        <v>4</v>
      </c>
    </row>
    <row r="47" spans="1:2" ht="15.5" x14ac:dyDescent="0.35">
      <c r="A47" t="s">
        <v>53</v>
      </c>
      <c r="B47" t="s">
        <v>1</v>
      </c>
    </row>
    <row r="48" spans="1:2" ht="15.5" x14ac:dyDescent="0.35">
      <c r="A48" t="s">
        <v>54</v>
      </c>
      <c r="B48" t="s">
        <v>3</v>
      </c>
    </row>
    <row r="49" spans="1:2" ht="15.5" x14ac:dyDescent="0.35">
      <c r="A49" t="s">
        <v>55</v>
      </c>
      <c r="B49" t="s">
        <v>1</v>
      </c>
    </row>
    <row r="50" spans="1:2" ht="15.5" x14ac:dyDescent="0.35">
      <c r="A50" t="s">
        <v>56</v>
      </c>
      <c r="B50" t="s">
        <v>1</v>
      </c>
    </row>
    <row r="51" spans="1:2" ht="15.5" x14ac:dyDescent="0.35">
      <c r="A51" t="s">
        <v>57</v>
      </c>
      <c r="B51" t="s">
        <v>4</v>
      </c>
    </row>
    <row r="52" spans="1:2" ht="15.5" x14ac:dyDescent="0.35">
      <c r="A52" t="s">
        <v>58</v>
      </c>
      <c r="B52" t="s">
        <v>1</v>
      </c>
    </row>
    <row r="53" spans="1:2" ht="15.5" x14ac:dyDescent="0.35">
      <c r="A53" t="s">
        <v>59</v>
      </c>
      <c r="B53" t="s">
        <v>3</v>
      </c>
    </row>
    <row r="54" spans="1:2" ht="15.5" x14ac:dyDescent="0.35">
      <c r="A54" t="s">
        <v>60</v>
      </c>
      <c r="B54" t="s">
        <v>1</v>
      </c>
    </row>
    <row r="55" spans="1:2" ht="15.5" x14ac:dyDescent="0.35">
      <c r="A55" t="s">
        <v>61</v>
      </c>
      <c r="B55" t="s">
        <v>1</v>
      </c>
    </row>
    <row r="56" spans="1:2" ht="15.5" x14ac:dyDescent="0.35">
      <c r="A56" t="s">
        <v>62</v>
      </c>
      <c r="B56" t="s">
        <v>3</v>
      </c>
    </row>
    <row r="57" spans="1:2" ht="15.5" x14ac:dyDescent="0.35">
      <c r="A57" t="s">
        <v>63</v>
      </c>
      <c r="B57" t="s">
        <v>3</v>
      </c>
    </row>
    <row r="58" spans="1:2" ht="15.5" x14ac:dyDescent="0.35">
      <c r="A58" t="s">
        <v>64</v>
      </c>
      <c r="B58" t="s">
        <v>3</v>
      </c>
    </row>
    <row r="59" spans="1:2" ht="15.5" x14ac:dyDescent="0.35">
      <c r="A59" t="s">
        <v>65</v>
      </c>
      <c r="B59" t="s">
        <v>1</v>
      </c>
    </row>
    <row r="60" spans="1:2" ht="15.5" x14ac:dyDescent="0.35">
      <c r="A60" t="s">
        <v>66</v>
      </c>
      <c r="B60" t="s">
        <v>1</v>
      </c>
    </row>
    <row r="61" spans="1:2" ht="15.5" x14ac:dyDescent="0.35">
      <c r="A61" t="s">
        <v>67</v>
      </c>
      <c r="B61" t="s">
        <v>1</v>
      </c>
    </row>
    <row r="62" spans="1:2" ht="15.5" x14ac:dyDescent="0.35">
      <c r="A62" t="s">
        <v>68</v>
      </c>
      <c r="B62" t="s">
        <v>4</v>
      </c>
    </row>
    <row r="63" spans="1:2" ht="15.5" x14ac:dyDescent="0.35">
      <c r="A63" t="s">
        <v>69</v>
      </c>
      <c r="B63" t="s">
        <v>3</v>
      </c>
    </row>
    <row r="64" spans="1:2" ht="15.5" x14ac:dyDescent="0.35">
      <c r="A64" t="s">
        <v>70</v>
      </c>
      <c r="B64" t="s">
        <v>2</v>
      </c>
    </row>
    <row r="65" spans="1:2" ht="15.5" x14ac:dyDescent="0.35">
      <c r="A65" t="s">
        <v>71</v>
      </c>
      <c r="B65" t="s">
        <v>3</v>
      </c>
    </row>
    <row r="66" spans="1:2" ht="15.5" x14ac:dyDescent="0.35">
      <c r="A66" t="s">
        <v>72</v>
      </c>
      <c r="B66" t="s">
        <v>4</v>
      </c>
    </row>
    <row r="67" spans="1:2" ht="15.5" x14ac:dyDescent="0.35">
      <c r="A67" t="s">
        <v>73</v>
      </c>
      <c r="B67" t="s">
        <v>4</v>
      </c>
    </row>
    <row r="68" spans="1:2" ht="15.5" x14ac:dyDescent="0.35">
      <c r="A68" t="s">
        <v>74</v>
      </c>
      <c r="B68" t="s">
        <v>4</v>
      </c>
    </row>
    <row r="69" spans="1:2" ht="15.5" x14ac:dyDescent="0.35">
      <c r="A69" t="s">
        <v>75</v>
      </c>
      <c r="B69" t="s">
        <v>4</v>
      </c>
    </row>
    <row r="70" spans="1:2" ht="15.5" x14ac:dyDescent="0.35">
      <c r="A70" t="s">
        <v>76</v>
      </c>
      <c r="B70" t="s">
        <v>4</v>
      </c>
    </row>
    <row r="71" spans="1:2" ht="15.5" x14ac:dyDescent="0.35">
      <c r="A71" t="s">
        <v>77</v>
      </c>
      <c r="B71" t="s">
        <v>4</v>
      </c>
    </row>
    <row r="72" spans="1:2" ht="15.5" x14ac:dyDescent="0.35">
      <c r="A72" t="s">
        <v>78</v>
      </c>
      <c r="B72" t="s">
        <v>4</v>
      </c>
    </row>
    <row r="73" spans="1:2" ht="15.5" x14ac:dyDescent="0.35">
      <c r="A73" t="s">
        <v>79</v>
      </c>
      <c r="B73" t="s">
        <v>4</v>
      </c>
    </row>
    <row r="74" spans="1:2" ht="15.5" x14ac:dyDescent="0.35">
      <c r="A74" t="s">
        <v>80</v>
      </c>
      <c r="B74" t="s">
        <v>4</v>
      </c>
    </row>
    <row r="75" spans="1:2" ht="15.5" x14ac:dyDescent="0.35">
      <c r="A75" t="s">
        <v>81</v>
      </c>
      <c r="B75" t="s">
        <v>4</v>
      </c>
    </row>
    <row r="76" spans="1:2" ht="15.5" x14ac:dyDescent="0.35">
      <c r="A76" t="s">
        <v>82</v>
      </c>
      <c r="B76" t="s">
        <v>4</v>
      </c>
    </row>
    <row r="77" spans="1:2" ht="15.5" x14ac:dyDescent="0.35">
      <c r="A77" t="s">
        <v>83</v>
      </c>
      <c r="B77" t="s">
        <v>4</v>
      </c>
    </row>
    <row r="78" spans="1:2" ht="15.5" x14ac:dyDescent="0.35">
      <c r="A78" t="s">
        <v>84</v>
      </c>
      <c r="B78" t="s">
        <v>4</v>
      </c>
    </row>
    <row r="79" spans="1:2" ht="15.5" x14ac:dyDescent="0.35">
      <c r="A79" t="s">
        <v>85</v>
      </c>
      <c r="B79" t="s">
        <v>4</v>
      </c>
    </row>
    <row r="80" spans="1:2" ht="15.5" x14ac:dyDescent="0.35">
      <c r="A80" t="s">
        <v>86</v>
      </c>
      <c r="B80" t="s">
        <v>4</v>
      </c>
    </row>
    <row r="81" spans="1:2" ht="15.5" x14ac:dyDescent="0.35">
      <c r="A81" t="s">
        <v>87</v>
      </c>
      <c r="B81" t="s">
        <v>4</v>
      </c>
    </row>
    <row r="82" spans="1:2" ht="15.5" x14ac:dyDescent="0.35">
      <c r="A82" t="s">
        <v>88</v>
      </c>
      <c r="B82" t="s">
        <v>4</v>
      </c>
    </row>
    <row r="83" spans="1:2" ht="15.5" x14ac:dyDescent="0.35">
      <c r="A83" t="s">
        <v>89</v>
      </c>
      <c r="B83" t="s">
        <v>4</v>
      </c>
    </row>
    <row r="84" spans="1:2" ht="15.5" x14ac:dyDescent="0.35">
      <c r="A84" t="s">
        <v>90</v>
      </c>
      <c r="B84" t="s">
        <v>4</v>
      </c>
    </row>
    <row r="85" spans="1:2" ht="15.5" x14ac:dyDescent="0.35">
      <c r="A85" t="s">
        <v>91</v>
      </c>
      <c r="B85" t="s">
        <v>4</v>
      </c>
    </row>
    <row r="86" spans="1:2" ht="15.5" x14ac:dyDescent="0.35">
      <c r="A86" t="s">
        <v>92</v>
      </c>
      <c r="B86" t="s">
        <v>4</v>
      </c>
    </row>
    <row r="87" spans="1:2" ht="15.5" x14ac:dyDescent="0.35">
      <c r="A87" t="s">
        <v>93</v>
      </c>
      <c r="B87" t="s">
        <v>4</v>
      </c>
    </row>
    <row r="88" spans="1:2" ht="15.5" x14ac:dyDescent="0.35">
      <c r="A88" t="s">
        <v>94</v>
      </c>
      <c r="B88" t="s">
        <v>3</v>
      </c>
    </row>
    <row r="89" spans="1:2" ht="15.5" x14ac:dyDescent="0.35">
      <c r="A89" t="s">
        <v>95</v>
      </c>
      <c r="B89" t="s">
        <v>3</v>
      </c>
    </row>
    <row r="90" spans="1:2" ht="15.5" x14ac:dyDescent="0.35">
      <c r="A90" t="s">
        <v>96</v>
      </c>
      <c r="B90" t="s">
        <v>3</v>
      </c>
    </row>
    <row r="91" spans="1:2" ht="15.5" x14ac:dyDescent="0.35">
      <c r="A91" t="s">
        <v>97</v>
      </c>
      <c r="B91" t="s">
        <v>3</v>
      </c>
    </row>
    <row r="92" spans="1:2" ht="15.5" x14ac:dyDescent="0.35">
      <c r="A92" t="s">
        <v>98</v>
      </c>
      <c r="B92" t="s">
        <v>3</v>
      </c>
    </row>
    <row r="93" spans="1:2" ht="15.5" x14ac:dyDescent="0.35">
      <c r="A93" t="s">
        <v>99</v>
      </c>
      <c r="B93" t="s">
        <v>3</v>
      </c>
    </row>
    <row r="94" spans="1:2" ht="15.5" x14ac:dyDescent="0.35">
      <c r="A94" t="s">
        <v>100</v>
      </c>
      <c r="B94" t="s">
        <v>3</v>
      </c>
    </row>
    <row r="95" spans="1:2" ht="15.5" x14ac:dyDescent="0.35">
      <c r="A95" t="s">
        <v>101</v>
      </c>
      <c r="B95" t="s">
        <v>1</v>
      </c>
    </row>
    <row r="96" spans="1:2" ht="15.5" x14ac:dyDescent="0.35">
      <c r="A96" t="s">
        <v>102</v>
      </c>
      <c r="B96" t="s">
        <v>3</v>
      </c>
    </row>
    <row r="97" spans="1:2" ht="15.5" x14ac:dyDescent="0.35">
      <c r="A97" t="s">
        <v>103</v>
      </c>
      <c r="B97" t="s">
        <v>5</v>
      </c>
    </row>
    <row r="98" spans="1:2" ht="15.5" x14ac:dyDescent="0.35">
      <c r="A98" t="s">
        <v>104</v>
      </c>
      <c r="B98" t="s">
        <v>1</v>
      </c>
    </row>
    <row r="99" spans="1:2" ht="15.5" x14ac:dyDescent="0.35">
      <c r="A99" t="s">
        <v>105</v>
      </c>
      <c r="B99" t="s">
        <v>3</v>
      </c>
    </row>
    <row r="100" spans="1:2" ht="15.5" x14ac:dyDescent="0.35">
      <c r="A100" t="s">
        <v>106</v>
      </c>
      <c r="B100" t="s">
        <v>3</v>
      </c>
    </row>
    <row r="101" spans="1:2" ht="15.5" x14ac:dyDescent="0.35">
      <c r="A101" t="s">
        <v>107</v>
      </c>
      <c r="B101" t="s">
        <v>3</v>
      </c>
    </row>
    <row r="102" spans="1:2" ht="15.5" x14ac:dyDescent="0.35">
      <c r="A102" t="s">
        <v>108</v>
      </c>
      <c r="B102" t="s">
        <v>3</v>
      </c>
    </row>
    <row r="103" spans="1:2" ht="15.5" x14ac:dyDescent="0.35">
      <c r="A103" t="s">
        <v>109</v>
      </c>
      <c r="B103" t="s">
        <v>1</v>
      </c>
    </row>
    <row r="104" spans="1:2" ht="15.5" x14ac:dyDescent="0.35">
      <c r="A104" t="s">
        <v>110</v>
      </c>
      <c r="B104" t="s">
        <v>2</v>
      </c>
    </row>
    <row r="105" spans="1:2" ht="15.5" x14ac:dyDescent="0.35">
      <c r="A105" t="s">
        <v>111</v>
      </c>
      <c r="B105" t="s">
        <v>2</v>
      </c>
    </row>
    <row r="106" spans="1:2" ht="15.5" x14ac:dyDescent="0.35">
      <c r="A106" t="s">
        <v>112</v>
      </c>
      <c r="B106" t="s">
        <v>5</v>
      </c>
    </row>
    <row r="107" spans="1:2" ht="15.5" x14ac:dyDescent="0.35">
      <c r="A107" t="s">
        <v>113</v>
      </c>
      <c r="B107" t="s">
        <v>3</v>
      </c>
    </row>
    <row r="108" spans="1:2" ht="15.5" x14ac:dyDescent="0.35">
      <c r="A108" t="s">
        <v>114</v>
      </c>
      <c r="B108" t="s">
        <v>3</v>
      </c>
    </row>
    <row r="109" spans="1:2" ht="15.5" x14ac:dyDescent="0.35">
      <c r="A109" t="s">
        <v>115</v>
      </c>
      <c r="B109" t="s">
        <v>3</v>
      </c>
    </row>
    <row r="110" spans="1:2" ht="15.5" x14ac:dyDescent="0.35">
      <c r="A110" t="s">
        <v>116</v>
      </c>
      <c r="B110" t="s">
        <v>1</v>
      </c>
    </row>
    <row r="111" spans="1:2" ht="15.5" x14ac:dyDescent="0.35">
      <c r="A111" t="s">
        <v>117</v>
      </c>
      <c r="B111" t="s">
        <v>3</v>
      </c>
    </row>
    <row r="112" spans="1:2" ht="15.5" x14ac:dyDescent="0.35">
      <c r="A112" t="s">
        <v>118</v>
      </c>
      <c r="B112" t="s">
        <v>3</v>
      </c>
    </row>
    <row r="113" spans="1:2" ht="15.5" x14ac:dyDescent="0.35">
      <c r="A113" t="s">
        <v>119</v>
      </c>
      <c r="B113" t="s">
        <v>3</v>
      </c>
    </row>
    <row r="114" spans="1:2" ht="15.5" x14ac:dyDescent="0.35">
      <c r="A114" t="s">
        <v>120</v>
      </c>
      <c r="B114" t="s">
        <v>3</v>
      </c>
    </row>
    <row r="115" spans="1:2" ht="15.5" x14ac:dyDescent="0.35">
      <c r="A115" t="s">
        <v>121</v>
      </c>
      <c r="B115" t="s">
        <v>3</v>
      </c>
    </row>
    <row r="116" spans="1:2" ht="15.5" x14ac:dyDescent="0.35">
      <c r="A116" t="s">
        <v>122</v>
      </c>
      <c r="B116" t="s">
        <v>3</v>
      </c>
    </row>
    <row r="117" spans="1:2" ht="15.5" x14ac:dyDescent="0.35">
      <c r="A117" t="s">
        <v>123</v>
      </c>
      <c r="B117" t="s">
        <v>3</v>
      </c>
    </row>
    <row r="118" spans="1:2" ht="15.5" x14ac:dyDescent="0.35">
      <c r="A118" t="s">
        <v>124</v>
      </c>
      <c r="B118" t="s">
        <v>4</v>
      </c>
    </row>
    <row r="119" spans="1:2" ht="15.5" x14ac:dyDescent="0.35">
      <c r="A119" t="s">
        <v>125</v>
      </c>
      <c r="B119" t="s">
        <v>3</v>
      </c>
    </row>
    <row r="120" spans="1:2" ht="15.5" x14ac:dyDescent="0.35">
      <c r="A120" t="s">
        <v>126</v>
      </c>
      <c r="B120" t="s">
        <v>3</v>
      </c>
    </row>
    <row r="121" spans="1:2" ht="15.5" x14ac:dyDescent="0.35">
      <c r="A121" t="s">
        <v>127</v>
      </c>
      <c r="B121" t="s">
        <v>2</v>
      </c>
    </row>
    <row r="122" spans="1:2" ht="15.5" x14ac:dyDescent="0.35">
      <c r="A122" t="s">
        <v>128</v>
      </c>
      <c r="B122" t="s">
        <v>4</v>
      </c>
    </row>
    <row r="123" spans="1:2" ht="15.5" x14ac:dyDescent="0.35">
      <c r="A123" t="s">
        <v>129</v>
      </c>
      <c r="B123" t="s">
        <v>4</v>
      </c>
    </row>
    <row r="124" spans="1:2" ht="15.5" x14ac:dyDescent="0.35">
      <c r="A124" t="s">
        <v>130</v>
      </c>
      <c r="B124" t="s">
        <v>4</v>
      </c>
    </row>
    <row r="125" spans="1:2" ht="15.5" x14ac:dyDescent="0.35">
      <c r="A125" t="s">
        <v>131</v>
      </c>
      <c r="B125" t="s">
        <v>1</v>
      </c>
    </row>
    <row r="126" spans="1:2" ht="15.5" x14ac:dyDescent="0.35">
      <c r="A126" t="s">
        <v>132</v>
      </c>
      <c r="B126" t="s">
        <v>3</v>
      </c>
    </row>
    <row r="127" spans="1:2" ht="15.5" x14ac:dyDescent="0.35">
      <c r="A127" t="s">
        <v>133</v>
      </c>
      <c r="B127" t="s">
        <v>3</v>
      </c>
    </row>
    <row r="128" spans="1:2" ht="15.5" x14ac:dyDescent="0.35">
      <c r="A128" t="s">
        <v>134</v>
      </c>
      <c r="B128" t="s">
        <v>3</v>
      </c>
    </row>
    <row r="129" spans="1:2" ht="15.5" x14ac:dyDescent="0.35">
      <c r="A129" t="s">
        <v>135</v>
      </c>
      <c r="B129" t="s">
        <v>3</v>
      </c>
    </row>
    <row r="130" spans="1:2" ht="15.5" x14ac:dyDescent="0.35">
      <c r="A130" t="s">
        <v>136</v>
      </c>
      <c r="B130" t="s">
        <v>1</v>
      </c>
    </row>
    <row r="131" spans="1:2" ht="15.5" x14ac:dyDescent="0.35">
      <c r="A131" t="s">
        <v>137</v>
      </c>
      <c r="B131" t="s">
        <v>3</v>
      </c>
    </row>
    <row r="132" spans="1:2" ht="15.5" x14ac:dyDescent="0.35">
      <c r="A132" t="s">
        <v>138</v>
      </c>
      <c r="B132" t="s">
        <v>3</v>
      </c>
    </row>
    <row r="133" spans="1:2" ht="15.5" x14ac:dyDescent="0.35">
      <c r="A133" t="s">
        <v>139</v>
      </c>
      <c r="B133" t="s">
        <v>3</v>
      </c>
    </row>
    <row r="134" spans="1:2" ht="15.5" x14ac:dyDescent="0.35">
      <c r="A134" t="s">
        <v>140</v>
      </c>
      <c r="B134" t="s">
        <v>3</v>
      </c>
    </row>
    <row r="135" spans="1:2" ht="15.5" x14ac:dyDescent="0.35">
      <c r="A135" t="s">
        <v>141</v>
      </c>
      <c r="B135" t="s">
        <v>3</v>
      </c>
    </row>
    <row r="136" spans="1:2" ht="15.5" x14ac:dyDescent="0.35">
      <c r="A136" t="s">
        <v>142</v>
      </c>
      <c r="B136" t="s">
        <v>1</v>
      </c>
    </row>
    <row r="137" spans="1:2" ht="15.5" x14ac:dyDescent="0.35">
      <c r="A137" t="s">
        <v>143</v>
      </c>
      <c r="B137" t="s">
        <v>1</v>
      </c>
    </row>
    <row r="138" spans="1:2" ht="15.5" x14ac:dyDescent="0.35">
      <c r="A138" t="s">
        <v>144</v>
      </c>
      <c r="B138" t="s">
        <v>1</v>
      </c>
    </row>
    <row r="139" spans="1:2" ht="15.5" x14ac:dyDescent="0.35">
      <c r="A139" t="s">
        <v>145</v>
      </c>
      <c r="B139" t="s">
        <v>3</v>
      </c>
    </row>
    <row r="140" spans="1:2" ht="15.5" x14ac:dyDescent="0.35">
      <c r="A140" t="s">
        <v>146</v>
      </c>
      <c r="B140" t="s">
        <v>3</v>
      </c>
    </row>
    <row r="141" spans="1:2" ht="15.5" x14ac:dyDescent="0.35">
      <c r="A141" t="s">
        <v>147</v>
      </c>
      <c r="B141" t="s">
        <v>3</v>
      </c>
    </row>
    <row r="142" spans="1:2" ht="15.5" x14ac:dyDescent="0.35">
      <c r="A142" t="s">
        <v>148</v>
      </c>
      <c r="B142" t="s">
        <v>3</v>
      </c>
    </row>
    <row r="143" spans="1:2" ht="15.5" x14ac:dyDescent="0.35">
      <c r="A143" t="s">
        <v>149</v>
      </c>
      <c r="B143" t="s">
        <v>3</v>
      </c>
    </row>
    <row r="144" spans="1:2" ht="15.5" x14ac:dyDescent="0.35">
      <c r="A144" t="s">
        <v>150</v>
      </c>
      <c r="B144" t="s">
        <v>3</v>
      </c>
    </row>
    <row r="145" spans="1:2" ht="15.5" x14ac:dyDescent="0.35">
      <c r="A145" t="s">
        <v>151</v>
      </c>
      <c r="B145" t="s">
        <v>2</v>
      </c>
    </row>
    <row r="146" spans="1:2" ht="15.5" x14ac:dyDescent="0.35">
      <c r="A146" t="s">
        <v>152</v>
      </c>
      <c r="B146" t="s">
        <v>3</v>
      </c>
    </row>
    <row r="147" spans="1:2" ht="15.5" x14ac:dyDescent="0.35">
      <c r="A147" t="s">
        <v>153</v>
      </c>
      <c r="B147" t="s">
        <v>3</v>
      </c>
    </row>
    <row r="148" spans="1:2" ht="15.5" x14ac:dyDescent="0.35">
      <c r="A148" t="s">
        <v>154</v>
      </c>
      <c r="B148" t="s">
        <v>3</v>
      </c>
    </row>
    <row r="149" spans="1:2" ht="15.5" x14ac:dyDescent="0.35">
      <c r="A149" t="s">
        <v>155</v>
      </c>
      <c r="B149" t="s">
        <v>3</v>
      </c>
    </row>
    <row r="150" spans="1:2" ht="15.5" x14ac:dyDescent="0.35">
      <c r="A150" t="s">
        <v>156</v>
      </c>
      <c r="B150" t="s">
        <v>3</v>
      </c>
    </row>
    <row r="151" spans="1:2" ht="15.5" x14ac:dyDescent="0.35">
      <c r="A151" t="s">
        <v>157</v>
      </c>
      <c r="B151" t="s">
        <v>3</v>
      </c>
    </row>
    <row r="152" spans="1:2" ht="15.5" x14ac:dyDescent="0.35">
      <c r="A152" s="6" t="s">
        <v>158</v>
      </c>
      <c r="B152" t="s">
        <v>3</v>
      </c>
    </row>
    <row r="153" spans="1:2" ht="15.5" x14ac:dyDescent="0.35">
      <c r="A153" t="s">
        <v>159</v>
      </c>
      <c r="B153" t="s">
        <v>1</v>
      </c>
    </row>
    <row r="154" spans="1:2" ht="15.5" x14ac:dyDescent="0.35">
      <c r="A154" t="s">
        <v>160</v>
      </c>
      <c r="B154" t="s">
        <v>2</v>
      </c>
    </row>
    <row r="155" spans="1:2" ht="15.5" x14ac:dyDescent="0.35">
      <c r="A155" t="s">
        <v>161</v>
      </c>
      <c r="B155" t="s">
        <v>3</v>
      </c>
    </row>
    <row r="156" spans="1:2" ht="15.5" x14ac:dyDescent="0.35">
      <c r="A156" t="s">
        <v>162</v>
      </c>
      <c r="B156" t="s">
        <v>3</v>
      </c>
    </row>
    <row r="157" spans="1:2" ht="15.5" x14ac:dyDescent="0.35">
      <c r="A157" t="s">
        <v>163</v>
      </c>
      <c r="B157" t="s">
        <v>3</v>
      </c>
    </row>
    <row r="158" spans="1:2" ht="15.5" x14ac:dyDescent="0.35">
      <c r="A158" t="s">
        <v>164</v>
      </c>
      <c r="B158" t="s">
        <v>3</v>
      </c>
    </row>
    <row r="159" spans="1:2" ht="15.5" x14ac:dyDescent="0.35">
      <c r="A159" t="s">
        <v>165</v>
      </c>
      <c r="B159" t="s">
        <v>3</v>
      </c>
    </row>
    <row r="160" spans="1:2" ht="15.5" x14ac:dyDescent="0.35">
      <c r="A160" t="s">
        <v>166</v>
      </c>
      <c r="B160" t="s">
        <v>4</v>
      </c>
    </row>
    <row r="161" spans="1:2" ht="15.5" x14ac:dyDescent="0.35">
      <c r="A161" t="s">
        <v>167</v>
      </c>
      <c r="B161" t="s">
        <v>1</v>
      </c>
    </row>
    <row r="162" spans="1:2" ht="15.5" x14ac:dyDescent="0.35">
      <c r="A162" t="s">
        <v>168</v>
      </c>
      <c r="B162" t="s">
        <v>1</v>
      </c>
    </row>
    <row r="163" spans="1:2" ht="15.5" x14ac:dyDescent="0.35">
      <c r="A163" t="s">
        <v>169</v>
      </c>
      <c r="B163" t="s">
        <v>3</v>
      </c>
    </row>
    <row r="164" spans="1:2" ht="15.5" x14ac:dyDescent="0.35">
      <c r="A164" t="s">
        <v>170</v>
      </c>
      <c r="B164" t="s">
        <v>3</v>
      </c>
    </row>
    <row r="165" spans="1:2" ht="15.5" x14ac:dyDescent="0.35">
      <c r="A165" t="s">
        <v>171</v>
      </c>
      <c r="B165" t="s">
        <v>3</v>
      </c>
    </row>
    <row r="166" spans="1:2" ht="15.5" x14ac:dyDescent="0.35">
      <c r="A166" t="s">
        <v>172</v>
      </c>
      <c r="B166" t="s">
        <v>3</v>
      </c>
    </row>
    <row r="167" spans="1:2" ht="15.5" x14ac:dyDescent="0.35">
      <c r="A167" t="s">
        <v>173</v>
      </c>
      <c r="B167" t="s">
        <v>3</v>
      </c>
    </row>
    <row r="168" spans="1:2" ht="15.5" x14ac:dyDescent="0.35">
      <c r="A168" t="s">
        <v>174</v>
      </c>
      <c r="B168" t="s">
        <v>3</v>
      </c>
    </row>
    <row r="169" spans="1:2" ht="15.5" x14ac:dyDescent="0.35">
      <c r="A169" t="s">
        <v>175</v>
      </c>
      <c r="B169" t="s">
        <v>3</v>
      </c>
    </row>
    <row r="170" spans="1:2" ht="15.5" x14ac:dyDescent="0.35">
      <c r="A170" t="s">
        <v>176</v>
      </c>
      <c r="B170" t="s">
        <v>3</v>
      </c>
    </row>
    <row r="171" spans="1:2" ht="15.5" x14ac:dyDescent="0.35">
      <c r="A171" t="s">
        <v>177</v>
      </c>
      <c r="B171" t="s">
        <v>3</v>
      </c>
    </row>
    <row r="172" spans="1:2" ht="15.5" x14ac:dyDescent="0.35">
      <c r="A172" t="s">
        <v>178</v>
      </c>
      <c r="B172" t="s">
        <v>3</v>
      </c>
    </row>
    <row r="173" spans="1:2" ht="15.5" x14ac:dyDescent="0.35">
      <c r="A173" t="s">
        <v>179</v>
      </c>
      <c r="B173" t="s">
        <v>3</v>
      </c>
    </row>
    <row r="174" spans="1:2" ht="15.5" x14ac:dyDescent="0.35">
      <c r="A174" t="s">
        <v>180</v>
      </c>
      <c r="B174" t="s">
        <v>2</v>
      </c>
    </row>
    <row r="175" spans="1:2" ht="15.5" x14ac:dyDescent="0.35">
      <c r="A175" t="s">
        <v>181</v>
      </c>
      <c r="B175" t="s">
        <v>3</v>
      </c>
    </row>
    <row r="176" spans="1:2" ht="15.5" x14ac:dyDescent="0.35">
      <c r="A176" t="s">
        <v>182</v>
      </c>
      <c r="B176" t="s">
        <v>3</v>
      </c>
    </row>
    <row r="177" spans="1:2" ht="15.5" x14ac:dyDescent="0.35">
      <c r="A177" t="s">
        <v>183</v>
      </c>
      <c r="B177" t="s">
        <v>3</v>
      </c>
    </row>
    <row r="178" spans="1:2" ht="15.5" x14ac:dyDescent="0.35">
      <c r="A178" t="s">
        <v>184</v>
      </c>
      <c r="B178" t="s">
        <v>3</v>
      </c>
    </row>
    <row r="179" spans="1:2" ht="15.5" x14ac:dyDescent="0.35">
      <c r="A179" t="s">
        <v>185</v>
      </c>
      <c r="B179" t="s">
        <v>1</v>
      </c>
    </row>
    <row r="180" spans="1:2" ht="15.5" x14ac:dyDescent="0.35">
      <c r="A180" t="s">
        <v>186</v>
      </c>
      <c r="B180" t="s">
        <v>3</v>
      </c>
    </row>
    <row r="181" spans="1:2" ht="15.5" x14ac:dyDescent="0.35">
      <c r="A181" t="s">
        <v>187</v>
      </c>
      <c r="B181" t="s">
        <v>5</v>
      </c>
    </row>
    <row r="182" spans="1:2" ht="15.5" x14ac:dyDescent="0.35">
      <c r="A182" t="s">
        <v>188</v>
      </c>
      <c r="B182" t="s">
        <v>4</v>
      </c>
    </row>
    <row r="183" spans="1:2" ht="15.5" x14ac:dyDescent="0.35">
      <c r="A183" t="s">
        <v>189</v>
      </c>
      <c r="B183" t="s">
        <v>1</v>
      </c>
    </row>
    <row r="184" spans="1:2" ht="15.5" x14ac:dyDescent="0.35">
      <c r="A184" t="s">
        <v>190</v>
      </c>
      <c r="B184" t="s">
        <v>3</v>
      </c>
    </row>
    <row r="185" spans="1:2" ht="15.5" x14ac:dyDescent="0.35">
      <c r="A185" t="s">
        <v>191</v>
      </c>
      <c r="B185" t="s">
        <v>3</v>
      </c>
    </row>
    <row r="186" spans="1:2" ht="15.5" x14ac:dyDescent="0.35">
      <c r="A186" t="s">
        <v>192</v>
      </c>
      <c r="B186" t="s">
        <v>3</v>
      </c>
    </row>
    <row r="187" spans="1:2" ht="15.5" x14ac:dyDescent="0.35">
      <c r="A187" t="s">
        <v>193</v>
      </c>
      <c r="B187" t="s">
        <v>3</v>
      </c>
    </row>
    <row r="188" spans="1:2" ht="15.5" x14ac:dyDescent="0.35">
      <c r="A188" t="s">
        <v>194</v>
      </c>
      <c r="B188" t="s">
        <v>3</v>
      </c>
    </row>
    <row r="189" spans="1:2" ht="15.5" x14ac:dyDescent="0.35">
      <c r="A189" t="s">
        <v>195</v>
      </c>
      <c r="B189" t="s">
        <v>1</v>
      </c>
    </row>
    <row r="190" spans="1:2" ht="15.5" x14ac:dyDescent="0.35">
      <c r="A190" t="s">
        <v>196</v>
      </c>
      <c r="B190" t="s">
        <v>1</v>
      </c>
    </row>
    <row r="191" spans="1:2" ht="15.5" x14ac:dyDescent="0.35">
      <c r="A191" t="s">
        <v>197</v>
      </c>
      <c r="B191" t="s">
        <v>1</v>
      </c>
    </row>
    <row r="192" spans="1:2" ht="15.5" x14ac:dyDescent="0.35">
      <c r="A192" t="s">
        <v>198</v>
      </c>
      <c r="B192" t="s">
        <v>3</v>
      </c>
    </row>
    <row r="193" spans="1:2" ht="15.5" x14ac:dyDescent="0.35">
      <c r="A193" t="s">
        <v>199</v>
      </c>
      <c r="B193" t="s">
        <v>3</v>
      </c>
    </row>
    <row r="194" spans="1:2" ht="15.5" x14ac:dyDescent="0.35">
      <c r="A194" t="s">
        <v>200</v>
      </c>
      <c r="B194" t="s">
        <v>3</v>
      </c>
    </row>
    <row r="195" spans="1:2" ht="15.5" x14ac:dyDescent="0.35">
      <c r="A195" t="s">
        <v>201</v>
      </c>
      <c r="B195" t="s">
        <v>3</v>
      </c>
    </row>
    <row r="196" spans="1:2" ht="15.5" x14ac:dyDescent="0.35">
      <c r="A196" t="s">
        <v>202</v>
      </c>
      <c r="B196" t="s">
        <v>1</v>
      </c>
    </row>
    <row r="197" spans="1:2" ht="15.5" x14ac:dyDescent="0.35">
      <c r="A197" t="s">
        <v>203</v>
      </c>
      <c r="B197" t="s">
        <v>1</v>
      </c>
    </row>
    <row r="198" spans="1:2" ht="15.5" x14ac:dyDescent="0.35">
      <c r="A198" t="s">
        <v>204</v>
      </c>
      <c r="B198" t="s">
        <v>3</v>
      </c>
    </row>
    <row r="199" spans="1:2" ht="15.5" x14ac:dyDescent="0.35">
      <c r="A199" t="s">
        <v>205</v>
      </c>
      <c r="B199" t="s">
        <v>3</v>
      </c>
    </row>
    <row r="200" spans="1:2" ht="15.5" x14ac:dyDescent="0.35">
      <c r="A200" t="s">
        <v>206</v>
      </c>
      <c r="B200" t="s">
        <v>3</v>
      </c>
    </row>
    <row r="201" spans="1:2" ht="15.5" x14ac:dyDescent="0.35">
      <c r="A201" t="s">
        <v>207</v>
      </c>
      <c r="B201" t="s">
        <v>3</v>
      </c>
    </row>
    <row r="202" spans="1:2" ht="15.5" x14ac:dyDescent="0.35">
      <c r="A202" s="6" t="s">
        <v>208</v>
      </c>
      <c r="B202" s="6" t="s">
        <v>1</v>
      </c>
    </row>
    <row r="203" spans="1:2" ht="15.5" x14ac:dyDescent="0.35">
      <c r="A203" t="s">
        <v>209</v>
      </c>
      <c r="B203" t="s">
        <v>2</v>
      </c>
    </row>
    <row r="204" spans="1:2" ht="15.5" x14ac:dyDescent="0.35">
      <c r="A204" t="s">
        <v>210</v>
      </c>
      <c r="B204" t="s">
        <v>3</v>
      </c>
    </row>
    <row r="205" spans="1:2" ht="15.5" x14ac:dyDescent="0.35">
      <c r="A205" t="s">
        <v>211</v>
      </c>
      <c r="B205" t="s">
        <v>3</v>
      </c>
    </row>
    <row r="206" spans="1:2" ht="15.5" x14ac:dyDescent="0.35">
      <c r="A206" t="s">
        <v>212</v>
      </c>
      <c r="B206" t="s">
        <v>3</v>
      </c>
    </row>
    <row r="207" spans="1:2" ht="15.5" x14ac:dyDescent="0.35">
      <c r="A207" t="s">
        <v>213</v>
      </c>
      <c r="B207" t="s">
        <v>3</v>
      </c>
    </row>
    <row r="208" spans="1:2" ht="15.5" x14ac:dyDescent="0.35">
      <c r="A208" t="s">
        <v>214</v>
      </c>
      <c r="B208" t="s">
        <v>3</v>
      </c>
    </row>
    <row r="209" spans="1:2" ht="15.5" x14ac:dyDescent="0.35">
      <c r="A209" t="s">
        <v>215</v>
      </c>
      <c r="B209" t="s">
        <v>3</v>
      </c>
    </row>
    <row r="210" spans="1:2" ht="15.5" x14ac:dyDescent="0.35">
      <c r="A210" t="s">
        <v>216</v>
      </c>
      <c r="B210" t="s">
        <v>3</v>
      </c>
    </row>
    <row r="211" spans="1:2" ht="15.5" x14ac:dyDescent="0.35">
      <c r="A211" t="s">
        <v>217</v>
      </c>
      <c r="B211" t="s">
        <v>3</v>
      </c>
    </row>
    <row r="212" spans="1:2" ht="15.5" x14ac:dyDescent="0.35">
      <c r="A212" t="s">
        <v>218</v>
      </c>
      <c r="B212" t="s">
        <v>1</v>
      </c>
    </row>
    <row r="213" spans="1:2" ht="15.5" x14ac:dyDescent="0.35">
      <c r="A213" t="s">
        <v>219</v>
      </c>
      <c r="B213" t="s">
        <v>3</v>
      </c>
    </row>
    <row r="214" spans="1:2" ht="15.5" x14ac:dyDescent="0.35">
      <c r="A214" t="s">
        <v>220</v>
      </c>
      <c r="B214" t="s">
        <v>1</v>
      </c>
    </row>
    <row r="215" spans="1:2" ht="15.5" x14ac:dyDescent="0.35">
      <c r="A215" t="s">
        <v>221</v>
      </c>
      <c r="B215" t="s">
        <v>1</v>
      </c>
    </row>
    <row r="216" spans="1:2" ht="15.5" x14ac:dyDescent="0.35">
      <c r="A216" t="s">
        <v>222</v>
      </c>
      <c r="B216" t="s">
        <v>1</v>
      </c>
    </row>
    <row r="217" spans="1:2" ht="15.5" x14ac:dyDescent="0.35">
      <c r="A217" t="s">
        <v>223</v>
      </c>
      <c r="B217" t="s">
        <v>1</v>
      </c>
    </row>
    <row r="218" spans="1:2" ht="15.5" x14ac:dyDescent="0.35">
      <c r="A218" t="s">
        <v>224</v>
      </c>
      <c r="B218" t="s">
        <v>4</v>
      </c>
    </row>
    <row r="219" spans="1:2" ht="15.5" x14ac:dyDescent="0.35">
      <c r="A219" t="s">
        <v>225</v>
      </c>
      <c r="B219" t="s">
        <v>1</v>
      </c>
    </row>
    <row r="220" spans="1:2" ht="15.5" x14ac:dyDescent="0.35">
      <c r="A220" t="s">
        <v>226</v>
      </c>
      <c r="B220" t="s">
        <v>1</v>
      </c>
    </row>
    <row r="221" spans="1:2" ht="15.5" x14ac:dyDescent="0.35">
      <c r="A221" t="s">
        <v>227</v>
      </c>
      <c r="B221" t="s">
        <v>4</v>
      </c>
    </row>
    <row r="222" spans="1:2" ht="15.5" x14ac:dyDescent="0.35">
      <c r="A222" t="s">
        <v>228</v>
      </c>
      <c r="B222" t="s">
        <v>4</v>
      </c>
    </row>
    <row r="223" spans="1:2" ht="15.5" x14ac:dyDescent="0.35">
      <c r="A223" t="s">
        <v>229</v>
      </c>
      <c r="B223" t="s">
        <v>3</v>
      </c>
    </row>
    <row r="224" spans="1:2" ht="15.5" x14ac:dyDescent="0.35">
      <c r="A224" t="s">
        <v>230</v>
      </c>
      <c r="B224" t="s">
        <v>3</v>
      </c>
    </row>
    <row r="225" spans="1:2" ht="15.5" x14ac:dyDescent="0.35">
      <c r="A225" s="6" t="s">
        <v>231</v>
      </c>
      <c r="B225" t="s">
        <v>1</v>
      </c>
    </row>
    <row r="226" spans="1:2" ht="15.5" x14ac:dyDescent="0.35">
      <c r="A226" s="6" t="s">
        <v>232</v>
      </c>
      <c r="B226" t="s">
        <v>1</v>
      </c>
    </row>
    <row r="227" spans="1:2" ht="15.5" x14ac:dyDescent="0.35">
      <c r="A227" s="6" t="s">
        <v>233</v>
      </c>
      <c r="B227" t="s">
        <v>1</v>
      </c>
    </row>
    <row r="228" spans="1:2" ht="15.5" x14ac:dyDescent="0.35">
      <c r="A228" t="s">
        <v>234</v>
      </c>
      <c r="B228" t="s">
        <v>3</v>
      </c>
    </row>
    <row r="229" spans="1:2" ht="15.5" x14ac:dyDescent="0.35">
      <c r="A229" t="s">
        <v>235</v>
      </c>
      <c r="B229" t="s">
        <v>3</v>
      </c>
    </row>
    <row r="230" spans="1:2" ht="15.5" x14ac:dyDescent="0.35">
      <c r="A230" t="s">
        <v>236</v>
      </c>
      <c r="B230" t="s">
        <v>3</v>
      </c>
    </row>
    <row r="231" spans="1:2" ht="15.5" x14ac:dyDescent="0.35">
      <c r="A231" s="6" t="s">
        <v>237</v>
      </c>
      <c r="B231" t="s">
        <v>3</v>
      </c>
    </row>
    <row r="232" spans="1:2" ht="15.5" x14ac:dyDescent="0.35">
      <c r="A232" s="6" t="s">
        <v>238</v>
      </c>
      <c r="B232" t="s">
        <v>3</v>
      </c>
    </row>
    <row r="233" spans="1:2" ht="15.5" x14ac:dyDescent="0.35">
      <c r="A233" s="6" t="s">
        <v>239</v>
      </c>
      <c r="B233" t="s">
        <v>3</v>
      </c>
    </row>
    <row r="234" spans="1:2" ht="15.5" x14ac:dyDescent="0.35">
      <c r="A234" t="s">
        <v>240</v>
      </c>
      <c r="B234" t="s">
        <v>3</v>
      </c>
    </row>
    <row r="235" spans="1:2" ht="15.5" x14ac:dyDescent="0.35">
      <c r="A235" s="6" t="s">
        <v>241</v>
      </c>
      <c r="B235" t="s">
        <v>1</v>
      </c>
    </row>
    <row r="236" spans="1:2" ht="15.5" x14ac:dyDescent="0.35">
      <c r="A236" t="s">
        <v>242</v>
      </c>
      <c r="B236" t="s">
        <v>3</v>
      </c>
    </row>
    <row r="237" spans="1:2" ht="15.5" x14ac:dyDescent="0.35">
      <c r="A237" t="s">
        <v>243</v>
      </c>
      <c r="B237" t="s">
        <v>1</v>
      </c>
    </row>
    <row r="238" spans="1:2" ht="15.5" x14ac:dyDescent="0.35">
      <c r="A238" t="s">
        <v>244</v>
      </c>
      <c r="B238" t="s">
        <v>1</v>
      </c>
    </row>
    <row r="239" spans="1:2" ht="15.5" x14ac:dyDescent="0.35">
      <c r="A239" t="s">
        <v>245</v>
      </c>
      <c r="B239" t="s">
        <v>2</v>
      </c>
    </row>
    <row r="240" spans="1:2" ht="15.5" x14ac:dyDescent="0.35">
      <c r="A240" t="s">
        <v>246</v>
      </c>
      <c r="B240" t="s">
        <v>1</v>
      </c>
    </row>
    <row r="241" spans="1:2" ht="15.5" x14ac:dyDescent="0.35">
      <c r="A241" t="s">
        <v>247</v>
      </c>
      <c r="B241" t="s">
        <v>1</v>
      </c>
    </row>
    <row r="242" spans="1:2" ht="15.5" x14ac:dyDescent="0.35">
      <c r="A242" t="s">
        <v>248</v>
      </c>
      <c r="B242" t="s">
        <v>2</v>
      </c>
    </row>
    <row r="243" spans="1:2" ht="15.5" x14ac:dyDescent="0.35">
      <c r="A243" t="s">
        <v>249</v>
      </c>
      <c r="B243" t="s">
        <v>3</v>
      </c>
    </row>
    <row r="244" spans="1:2" ht="15.5" x14ac:dyDescent="0.35">
      <c r="A244" t="s">
        <v>250</v>
      </c>
      <c r="B244" t="s">
        <v>3</v>
      </c>
    </row>
    <row r="245" spans="1:2" ht="15.5" x14ac:dyDescent="0.35">
      <c r="A245" t="s">
        <v>251</v>
      </c>
      <c r="B245" t="s">
        <v>1</v>
      </c>
    </row>
    <row r="246" spans="1:2" ht="15.5" x14ac:dyDescent="0.35">
      <c r="A246" t="s">
        <v>252</v>
      </c>
      <c r="B246" t="s">
        <v>3</v>
      </c>
    </row>
    <row r="247" spans="1:2" ht="15.5" x14ac:dyDescent="0.35">
      <c r="A247" t="s">
        <v>253</v>
      </c>
      <c r="B247" t="s">
        <v>3</v>
      </c>
    </row>
    <row r="248" spans="1:2" ht="15.5" x14ac:dyDescent="0.35">
      <c r="A248" t="s">
        <v>254</v>
      </c>
      <c r="B248" t="s">
        <v>4</v>
      </c>
    </row>
    <row r="249" spans="1:2" ht="15.5" x14ac:dyDescent="0.35">
      <c r="A249" t="s">
        <v>255</v>
      </c>
      <c r="B249" t="s">
        <v>2</v>
      </c>
    </row>
    <row r="250" spans="1:2" ht="15.5" x14ac:dyDescent="0.35">
      <c r="A250" t="s">
        <v>256</v>
      </c>
      <c r="B250" t="s">
        <v>2</v>
      </c>
    </row>
    <row r="251" spans="1:2" ht="15.5" x14ac:dyDescent="0.35">
      <c r="A251" t="s">
        <v>257</v>
      </c>
      <c r="B251" t="s">
        <v>3</v>
      </c>
    </row>
    <row r="252" spans="1:2" ht="15.5" x14ac:dyDescent="0.35">
      <c r="A252" t="s">
        <v>258</v>
      </c>
      <c r="B252" t="s">
        <v>3</v>
      </c>
    </row>
    <row r="253" spans="1:2" ht="15.5" x14ac:dyDescent="0.35">
      <c r="A253" t="s">
        <v>259</v>
      </c>
      <c r="B253" t="s">
        <v>3</v>
      </c>
    </row>
    <row r="254" spans="1:2" ht="15.5" x14ac:dyDescent="0.35">
      <c r="A254" t="s">
        <v>260</v>
      </c>
      <c r="B254" t="s">
        <v>3</v>
      </c>
    </row>
    <row r="255" spans="1:2" ht="15.5" x14ac:dyDescent="0.35">
      <c r="A255" t="s">
        <v>261</v>
      </c>
      <c r="B255" t="s">
        <v>2</v>
      </c>
    </row>
  </sheetData>
  <autoFilter ref="A1:B255" xr:uid="{7288DA0F-C70B-46EE-9F55-06C1582F18E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1A52B-F6BC-479F-90A6-ABCC447CBD5F}">
  <dimension ref="A1:I256"/>
  <sheetViews>
    <sheetView tabSelected="1" workbookViewId="0">
      <pane ySplit="1" topLeftCell="A66" activePane="bottomLeft" state="frozen"/>
      <selection pane="bottomLeft" activeCell="E10" sqref="E10"/>
    </sheetView>
  </sheetViews>
  <sheetFormatPr defaultRowHeight="15.5" x14ac:dyDescent="0.35"/>
  <cols>
    <col min="1" max="1" width="139.4140625" bestFit="1" customWidth="1"/>
    <col min="7" max="7" width="3.4140625" customWidth="1"/>
    <col min="8" max="8" width="11.6640625" customWidth="1"/>
    <col min="9" max="9" width="12.6640625" customWidth="1"/>
  </cols>
  <sheetData>
    <row r="1" spans="1:9" x14ac:dyDescent="0.35">
      <c r="A1" s="5" t="s">
        <v>0</v>
      </c>
      <c r="B1" s="5" t="s">
        <v>4</v>
      </c>
      <c r="C1" s="5" t="s">
        <v>1</v>
      </c>
      <c r="D1" s="5" t="s">
        <v>3</v>
      </c>
      <c r="E1" s="5" t="s">
        <v>2</v>
      </c>
      <c r="F1" s="5" t="s">
        <v>5</v>
      </c>
      <c r="G1" s="5"/>
      <c r="H1" s="5" t="s">
        <v>6</v>
      </c>
      <c r="I1" s="1" t="s">
        <v>7</v>
      </c>
    </row>
    <row r="2" spans="1:9" x14ac:dyDescent="0.35">
      <c r="A2" t="s">
        <v>8</v>
      </c>
      <c r="D2">
        <v>1</v>
      </c>
      <c r="H2">
        <f>MAX(C2:F2)</f>
        <v>1</v>
      </c>
      <c r="I2" t="str">
        <f>_xlfn.XLOOKUP(MAX(B2:F2),B2:F2,$B$1:$F$1)</f>
        <v>Medium</v>
      </c>
    </row>
    <row r="3" spans="1:9" x14ac:dyDescent="0.35">
      <c r="A3" t="s">
        <v>9</v>
      </c>
      <c r="C3">
        <v>4</v>
      </c>
      <c r="D3">
        <v>46</v>
      </c>
      <c r="E3">
        <v>16</v>
      </c>
      <c r="F3">
        <v>13</v>
      </c>
      <c r="H3">
        <v>79</v>
      </c>
      <c r="I3" t="str">
        <f t="shared" ref="I3:I66" si="0">_xlfn.XLOOKUP(MAX(B3:F3),B3:F3,$B$1:$F$1)</f>
        <v>Medium</v>
      </c>
    </row>
    <row r="4" spans="1:9" x14ac:dyDescent="0.35">
      <c r="A4" t="s">
        <v>10</v>
      </c>
      <c r="B4">
        <v>2</v>
      </c>
      <c r="H4">
        <v>2</v>
      </c>
      <c r="I4" t="str">
        <f t="shared" si="0"/>
        <v>Urgent</v>
      </c>
    </row>
    <row r="5" spans="1:9" x14ac:dyDescent="0.35">
      <c r="A5" t="s">
        <v>11</v>
      </c>
      <c r="B5">
        <v>2</v>
      </c>
      <c r="C5">
        <v>92</v>
      </c>
      <c r="D5">
        <v>55</v>
      </c>
      <c r="H5">
        <v>149</v>
      </c>
      <c r="I5" t="str">
        <f t="shared" si="0"/>
        <v>High</v>
      </c>
    </row>
    <row r="6" spans="1:9" x14ac:dyDescent="0.35">
      <c r="A6" t="s">
        <v>12</v>
      </c>
      <c r="C6">
        <v>17</v>
      </c>
      <c r="D6">
        <v>4</v>
      </c>
      <c r="H6">
        <v>21</v>
      </c>
      <c r="I6" t="str">
        <f t="shared" si="0"/>
        <v>High</v>
      </c>
    </row>
    <row r="7" spans="1:9" x14ac:dyDescent="0.35">
      <c r="A7" t="s">
        <v>13</v>
      </c>
      <c r="B7">
        <v>5</v>
      </c>
      <c r="C7">
        <v>68</v>
      </c>
      <c r="D7">
        <v>84</v>
      </c>
      <c r="E7">
        <v>6</v>
      </c>
      <c r="F7">
        <v>5</v>
      </c>
      <c r="H7">
        <v>168</v>
      </c>
      <c r="I7" t="str">
        <f t="shared" si="0"/>
        <v>Medium</v>
      </c>
    </row>
    <row r="8" spans="1:9" x14ac:dyDescent="0.35">
      <c r="A8" t="s">
        <v>14</v>
      </c>
      <c r="B8">
        <v>2</v>
      </c>
      <c r="C8">
        <v>5</v>
      </c>
      <c r="D8">
        <v>65</v>
      </c>
      <c r="E8">
        <v>25</v>
      </c>
      <c r="F8">
        <v>2</v>
      </c>
      <c r="H8">
        <v>99</v>
      </c>
      <c r="I8" t="str">
        <f t="shared" si="0"/>
        <v>Medium</v>
      </c>
    </row>
    <row r="9" spans="1:9" x14ac:dyDescent="0.35">
      <c r="A9" t="s">
        <v>15</v>
      </c>
      <c r="D9">
        <v>1</v>
      </c>
      <c r="E9">
        <v>19</v>
      </c>
      <c r="H9">
        <v>20</v>
      </c>
      <c r="I9" t="str">
        <f t="shared" si="0"/>
        <v>Low</v>
      </c>
    </row>
    <row r="10" spans="1:9" x14ac:dyDescent="0.35">
      <c r="A10" t="s">
        <v>16</v>
      </c>
      <c r="C10">
        <v>1</v>
      </c>
      <c r="D10">
        <v>11</v>
      </c>
      <c r="H10">
        <v>12</v>
      </c>
      <c r="I10" t="str">
        <f t="shared" si="0"/>
        <v>Medium</v>
      </c>
    </row>
    <row r="11" spans="1:9" x14ac:dyDescent="0.35">
      <c r="A11" t="s">
        <v>17</v>
      </c>
      <c r="C11">
        <v>1</v>
      </c>
      <c r="H11">
        <v>1</v>
      </c>
      <c r="I11" t="str">
        <f t="shared" si="0"/>
        <v>High</v>
      </c>
    </row>
    <row r="12" spans="1:9" x14ac:dyDescent="0.35">
      <c r="A12" t="s">
        <v>18</v>
      </c>
      <c r="C12">
        <v>2</v>
      </c>
      <c r="H12">
        <v>2</v>
      </c>
      <c r="I12" t="str">
        <f t="shared" si="0"/>
        <v>High</v>
      </c>
    </row>
    <row r="13" spans="1:9" x14ac:dyDescent="0.35">
      <c r="A13" t="s">
        <v>19</v>
      </c>
      <c r="C13">
        <v>4</v>
      </c>
      <c r="D13">
        <v>1</v>
      </c>
      <c r="E13">
        <v>1</v>
      </c>
      <c r="H13">
        <v>6</v>
      </c>
      <c r="I13" t="str">
        <f t="shared" si="0"/>
        <v>High</v>
      </c>
    </row>
    <row r="14" spans="1:9" x14ac:dyDescent="0.35">
      <c r="A14" t="s">
        <v>20</v>
      </c>
      <c r="B14">
        <v>5</v>
      </c>
      <c r="C14">
        <v>111</v>
      </c>
      <c r="D14">
        <v>324</v>
      </c>
      <c r="E14">
        <v>142</v>
      </c>
      <c r="F14">
        <v>2</v>
      </c>
      <c r="H14">
        <v>584</v>
      </c>
      <c r="I14" t="str">
        <f t="shared" si="0"/>
        <v>Medium</v>
      </c>
    </row>
    <row r="15" spans="1:9" x14ac:dyDescent="0.35">
      <c r="A15" t="s">
        <v>21</v>
      </c>
      <c r="B15">
        <v>1</v>
      </c>
      <c r="C15">
        <v>55</v>
      </c>
      <c r="D15">
        <v>202</v>
      </c>
      <c r="E15">
        <v>74</v>
      </c>
      <c r="F15">
        <v>5</v>
      </c>
      <c r="H15">
        <v>337</v>
      </c>
      <c r="I15" t="str">
        <f t="shared" si="0"/>
        <v>Medium</v>
      </c>
    </row>
    <row r="16" spans="1:9" x14ac:dyDescent="0.35">
      <c r="A16" t="s">
        <v>22</v>
      </c>
      <c r="B16">
        <v>21</v>
      </c>
      <c r="H16">
        <v>21</v>
      </c>
      <c r="I16" t="str">
        <f t="shared" si="0"/>
        <v>Urgent</v>
      </c>
    </row>
    <row r="17" spans="1:9" x14ac:dyDescent="0.35">
      <c r="A17" t="s">
        <v>23</v>
      </c>
      <c r="B17">
        <v>32</v>
      </c>
      <c r="D17">
        <v>5</v>
      </c>
      <c r="H17">
        <v>37</v>
      </c>
      <c r="I17" t="str">
        <f t="shared" si="0"/>
        <v>Urgent</v>
      </c>
    </row>
    <row r="18" spans="1:9" x14ac:dyDescent="0.35">
      <c r="A18" t="s">
        <v>24</v>
      </c>
      <c r="B18">
        <v>1621</v>
      </c>
      <c r="C18">
        <v>37</v>
      </c>
      <c r="D18">
        <v>33</v>
      </c>
      <c r="E18">
        <v>21</v>
      </c>
      <c r="H18">
        <v>1712</v>
      </c>
      <c r="I18" t="str">
        <f t="shared" si="0"/>
        <v>Urgent</v>
      </c>
    </row>
    <row r="19" spans="1:9" x14ac:dyDescent="0.35">
      <c r="A19" t="s">
        <v>25</v>
      </c>
      <c r="B19">
        <v>440</v>
      </c>
      <c r="C19">
        <v>14</v>
      </c>
      <c r="D19">
        <v>3</v>
      </c>
      <c r="H19">
        <v>457</v>
      </c>
      <c r="I19" t="str">
        <f t="shared" si="0"/>
        <v>Urgent</v>
      </c>
    </row>
    <row r="20" spans="1:9" x14ac:dyDescent="0.35">
      <c r="A20" t="s">
        <v>26</v>
      </c>
      <c r="B20">
        <v>5</v>
      </c>
      <c r="C20">
        <v>96</v>
      </c>
      <c r="D20">
        <v>717</v>
      </c>
      <c r="E20">
        <v>95</v>
      </c>
      <c r="F20">
        <v>3</v>
      </c>
      <c r="H20">
        <v>916</v>
      </c>
      <c r="I20" t="str">
        <f t="shared" si="0"/>
        <v>Medium</v>
      </c>
    </row>
    <row r="21" spans="1:9" x14ac:dyDescent="0.35">
      <c r="A21" t="s">
        <v>27</v>
      </c>
      <c r="B21">
        <v>6</v>
      </c>
      <c r="C21">
        <v>265</v>
      </c>
      <c r="D21">
        <v>1123</v>
      </c>
      <c r="E21">
        <v>160</v>
      </c>
      <c r="H21">
        <v>1554</v>
      </c>
      <c r="I21" t="str">
        <f t="shared" si="0"/>
        <v>Medium</v>
      </c>
    </row>
    <row r="22" spans="1:9" x14ac:dyDescent="0.35">
      <c r="A22" t="s">
        <v>28</v>
      </c>
      <c r="B22">
        <v>123</v>
      </c>
      <c r="C22">
        <v>510</v>
      </c>
      <c r="D22">
        <v>371</v>
      </c>
      <c r="E22">
        <v>166</v>
      </c>
      <c r="H22">
        <v>1170</v>
      </c>
      <c r="I22" t="str">
        <f t="shared" si="0"/>
        <v>High</v>
      </c>
    </row>
    <row r="23" spans="1:9" x14ac:dyDescent="0.35">
      <c r="A23" t="s">
        <v>29</v>
      </c>
      <c r="B23">
        <v>197</v>
      </c>
      <c r="C23">
        <v>1029</v>
      </c>
      <c r="D23">
        <v>914</v>
      </c>
      <c r="E23">
        <v>265</v>
      </c>
      <c r="F23">
        <v>5</v>
      </c>
      <c r="H23">
        <v>2410</v>
      </c>
      <c r="I23" t="str">
        <f t="shared" si="0"/>
        <v>High</v>
      </c>
    </row>
    <row r="24" spans="1:9" x14ac:dyDescent="0.35">
      <c r="A24" t="s">
        <v>30</v>
      </c>
      <c r="D24">
        <v>1</v>
      </c>
      <c r="E24">
        <v>1</v>
      </c>
      <c r="H24">
        <v>2</v>
      </c>
      <c r="I24" t="str">
        <f t="shared" si="0"/>
        <v>Medium</v>
      </c>
    </row>
    <row r="25" spans="1:9" x14ac:dyDescent="0.35">
      <c r="A25" t="s">
        <v>31</v>
      </c>
      <c r="B25">
        <v>7</v>
      </c>
      <c r="C25">
        <v>1</v>
      </c>
      <c r="H25">
        <v>8</v>
      </c>
      <c r="I25" t="str">
        <f t="shared" si="0"/>
        <v>Urgent</v>
      </c>
    </row>
    <row r="26" spans="1:9" x14ac:dyDescent="0.35">
      <c r="A26" t="s">
        <v>32</v>
      </c>
      <c r="C26">
        <v>11</v>
      </c>
      <c r="D26">
        <v>1</v>
      </c>
      <c r="H26">
        <v>12</v>
      </c>
      <c r="I26" t="str">
        <f t="shared" si="0"/>
        <v>High</v>
      </c>
    </row>
    <row r="27" spans="1:9" x14ac:dyDescent="0.35">
      <c r="A27" t="s">
        <v>33</v>
      </c>
      <c r="B27">
        <v>2</v>
      </c>
      <c r="C27">
        <v>4</v>
      </c>
      <c r="D27">
        <v>46</v>
      </c>
      <c r="H27">
        <v>52</v>
      </c>
      <c r="I27" t="str">
        <f t="shared" si="0"/>
        <v>Medium</v>
      </c>
    </row>
    <row r="28" spans="1:9" x14ac:dyDescent="0.35">
      <c r="A28" t="s">
        <v>34</v>
      </c>
      <c r="E28">
        <v>1</v>
      </c>
      <c r="H28">
        <v>1</v>
      </c>
      <c r="I28" t="str">
        <f t="shared" si="0"/>
        <v>Low</v>
      </c>
    </row>
    <row r="29" spans="1:9" x14ac:dyDescent="0.35">
      <c r="A29" t="s">
        <v>35</v>
      </c>
      <c r="D29">
        <v>1</v>
      </c>
      <c r="E29">
        <v>1</v>
      </c>
      <c r="H29">
        <v>2</v>
      </c>
      <c r="I29" t="str">
        <f t="shared" si="0"/>
        <v>Medium</v>
      </c>
    </row>
    <row r="30" spans="1:9" x14ac:dyDescent="0.35">
      <c r="A30" t="s">
        <v>36</v>
      </c>
      <c r="E30">
        <v>1</v>
      </c>
      <c r="H30">
        <v>1</v>
      </c>
      <c r="I30" t="str">
        <f t="shared" si="0"/>
        <v>Low</v>
      </c>
    </row>
    <row r="31" spans="1:9" x14ac:dyDescent="0.35">
      <c r="A31" t="s">
        <v>37</v>
      </c>
      <c r="D31">
        <v>4</v>
      </c>
      <c r="H31">
        <v>4</v>
      </c>
      <c r="I31" t="str">
        <f t="shared" si="0"/>
        <v>Medium</v>
      </c>
    </row>
    <row r="32" spans="1:9" x14ac:dyDescent="0.35">
      <c r="A32" t="s">
        <v>38</v>
      </c>
      <c r="C32">
        <v>9</v>
      </c>
      <c r="D32">
        <v>62</v>
      </c>
      <c r="E32">
        <v>25</v>
      </c>
      <c r="F32">
        <v>6</v>
      </c>
      <c r="H32">
        <v>102</v>
      </c>
      <c r="I32" t="str">
        <f t="shared" si="0"/>
        <v>Medium</v>
      </c>
    </row>
    <row r="33" spans="1:9" x14ac:dyDescent="0.35">
      <c r="A33" t="s">
        <v>39</v>
      </c>
      <c r="B33">
        <v>1133</v>
      </c>
      <c r="C33">
        <v>78</v>
      </c>
      <c r="D33">
        <v>23</v>
      </c>
      <c r="E33">
        <v>23</v>
      </c>
      <c r="H33">
        <v>1257</v>
      </c>
      <c r="I33" t="str">
        <f t="shared" si="0"/>
        <v>Urgent</v>
      </c>
    </row>
    <row r="34" spans="1:9" x14ac:dyDescent="0.35">
      <c r="A34" t="s">
        <v>40</v>
      </c>
      <c r="C34">
        <v>9</v>
      </c>
      <c r="H34">
        <v>9</v>
      </c>
      <c r="I34" t="str">
        <f t="shared" si="0"/>
        <v>High</v>
      </c>
    </row>
    <row r="35" spans="1:9" x14ac:dyDescent="0.35">
      <c r="A35" t="s">
        <v>41</v>
      </c>
      <c r="C35">
        <v>53</v>
      </c>
      <c r="D35">
        <v>112</v>
      </c>
      <c r="E35">
        <v>121</v>
      </c>
      <c r="F35">
        <v>179</v>
      </c>
      <c r="H35">
        <v>465</v>
      </c>
      <c r="I35" t="str">
        <f t="shared" si="0"/>
        <v>V Low</v>
      </c>
    </row>
    <row r="36" spans="1:9" x14ac:dyDescent="0.35">
      <c r="A36" t="s">
        <v>42</v>
      </c>
      <c r="C36">
        <v>1</v>
      </c>
      <c r="H36">
        <v>1</v>
      </c>
      <c r="I36" t="str">
        <f t="shared" si="0"/>
        <v>High</v>
      </c>
    </row>
    <row r="37" spans="1:9" x14ac:dyDescent="0.35">
      <c r="A37" t="s">
        <v>43</v>
      </c>
      <c r="B37">
        <v>1</v>
      </c>
      <c r="H37">
        <v>1</v>
      </c>
      <c r="I37" t="str">
        <f t="shared" si="0"/>
        <v>Urgent</v>
      </c>
    </row>
    <row r="38" spans="1:9" x14ac:dyDescent="0.35">
      <c r="A38" t="s">
        <v>44</v>
      </c>
      <c r="B38">
        <v>8</v>
      </c>
      <c r="H38">
        <v>8</v>
      </c>
      <c r="I38" t="str">
        <f t="shared" si="0"/>
        <v>Urgent</v>
      </c>
    </row>
    <row r="39" spans="1:9" x14ac:dyDescent="0.35">
      <c r="A39" t="s">
        <v>45</v>
      </c>
      <c r="B39">
        <v>16</v>
      </c>
      <c r="H39">
        <v>16</v>
      </c>
      <c r="I39" t="str">
        <f t="shared" si="0"/>
        <v>Urgent</v>
      </c>
    </row>
    <row r="40" spans="1:9" x14ac:dyDescent="0.35">
      <c r="A40" t="s">
        <v>46</v>
      </c>
      <c r="C40">
        <v>9</v>
      </c>
      <c r="D40">
        <v>6</v>
      </c>
      <c r="H40">
        <v>15</v>
      </c>
      <c r="I40" t="str">
        <f t="shared" si="0"/>
        <v>High</v>
      </c>
    </row>
    <row r="41" spans="1:9" x14ac:dyDescent="0.35">
      <c r="A41" t="s">
        <v>47</v>
      </c>
      <c r="C41">
        <v>47</v>
      </c>
      <c r="D41">
        <v>11</v>
      </c>
      <c r="E41">
        <v>5</v>
      </c>
      <c r="H41">
        <v>63</v>
      </c>
      <c r="I41" t="str">
        <f t="shared" si="0"/>
        <v>High</v>
      </c>
    </row>
    <row r="42" spans="1:9" x14ac:dyDescent="0.35">
      <c r="A42" t="s">
        <v>48</v>
      </c>
      <c r="B42">
        <v>17</v>
      </c>
      <c r="C42">
        <v>142</v>
      </c>
      <c r="D42">
        <v>288</v>
      </c>
      <c r="E42">
        <v>141</v>
      </c>
      <c r="F42">
        <v>1</v>
      </c>
      <c r="H42">
        <v>589</v>
      </c>
      <c r="I42" t="str">
        <f t="shared" si="0"/>
        <v>Medium</v>
      </c>
    </row>
    <row r="43" spans="1:9" x14ac:dyDescent="0.35">
      <c r="A43" t="s">
        <v>49</v>
      </c>
      <c r="B43">
        <v>6</v>
      </c>
      <c r="C43">
        <v>18</v>
      </c>
      <c r="D43">
        <v>81</v>
      </c>
      <c r="E43">
        <v>67</v>
      </c>
      <c r="F43">
        <v>5</v>
      </c>
      <c r="H43">
        <v>177</v>
      </c>
      <c r="I43" t="str">
        <f t="shared" si="0"/>
        <v>Medium</v>
      </c>
    </row>
    <row r="44" spans="1:9" x14ac:dyDescent="0.35">
      <c r="A44" t="s">
        <v>50</v>
      </c>
      <c r="D44">
        <v>2</v>
      </c>
      <c r="F44">
        <v>1</v>
      </c>
      <c r="H44">
        <v>3</v>
      </c>
      <c r="I44" t="str">
        <f t="shared" si="0"/>
        <v>Medium</v>
      </c>
    </row>
    <row r="45" spans="1:9" x14ac:dyDescent="0.35">
      <c r="A45" t="s">
        <v>51</v>
      </c>
      <c r="C45">
        <v>1</v>
      </c>
      <c r="H45">
        <v>1</v>
      </c>
      <c r="I45" t="str">
        <f t="shared" si="0"/>
        <v>High</v>
      </c>
    </row>
    <row r="46" spans="1:9" x14ac:dyDescent="0.35">
      <c r="A46" t="s">
        <v>52</v>
      </c>
      <c r="B46">
        <v>17</v>
      </c>
      <c r="H46">
        <v>17</v>
      </c>
      <c r="I46" t="str">
        <f t="shared" si="0"/>
        <v>Urgent</v>
      </c>
    </row>
    <row r="47" spans="1:9" x14ac:dyDescent="0.35">
      <c r="A47" t="s">
        <v>53</v>
      </c>
      <c r="B47">
        <v>72</v>
      </c>
      <c r="C47">
        <v>442</v>
      </c>
      <c r="D47">
        <v>414</v>
      </c>
      <c r="E47">
        <v>148</v>
      </c>
      <c r="F47">
        <v>6</v>
      </c>
      <c r="H47">
        <v>1082</v>
      </c>
      <c r="I47" t="str">
        <f t="shared" si="0"/>
        <v>High</v>
      </c>
    </row>
    <row r="48" spans="1:9" x14ac:dyDescent="0.35">
      <c r="A48" t="s">
        <v>54</v>
      </c>
      <c r="C48">
        <v>1</v>
      </c>
      <c r="D48">
        <v>5</v>
      </c>
      <c r="H48">
        <v>6</v>
      </c>
      <c r="I48" t="str">
        <f t="shared" si="0"/>
        <v>Medium</v>
      </c>
    </row>
    <row r="49" spans="1:9" x14ac:dyDescent="0.35">
      <c r="A49" t="s">
        <v>55</v>
      </c>
      <c r="B49">
        <v>15</v>
      </c>
      <c r="C49">
        <v>151</v>
      </c>
      <c r="D49">
        <v>76</v>
      </c>
      <c r="E49">
        <v>19</v>
      </c>
      <c r="F49">
        <v>1</v>
      </c>
      <c r="H49">
        <v>262</v>
      </c>
      <c r="I49" t="str">
        <f t="shared" si="0"/>
        <v>High</v>
      </c>
    </row>
    <row r="50" spans="1:9" x14ac:dyDescent="0.35">
      <c r="A50" t="s">
        <v>56</v>
      </c>
      <c r="B50">
        <v>2</v>
      </c>
      <c r="C50">
        <v>17</v>
      </c>
      <c r="D50">
        <v>8</v>
      </c>
      <c r="E50">
        <v>8</v>
      </c>
      <c r="H50">
        <v>35</v>
      </c>
      <c r="I50" t="str">
        <f t="shared" si="0"/>
        <v>High</v>
      </c>
    </row>
    <row r="51" spans="1:9" x14ac:dyDescent="0.35">
      <c r="A51" t="s">
        <v>57</v>
      </c>
      <c r="B51">
        <v>1247</v>
      </c>
      <c r="C51">
        <v>45</v>
      </c>
      <c r="D51">
        <v>37</v>
      </c>
      <c r="E51">
        <v>25</v>
      </c>
      <c r="H51">
        <v>1354</v>
      </c>
      <c r="I51" t="str">
        <f t="shared" si="0"/>
        <v>Urgent</v>
      </c>
    </row>
    <row r="52" spans="1:9" x14ac:dyDescent="0.35">
      <c r="A52" t="s">
        <v>58</v>
      </c>
      <c r="B52">
        <v>53</v>
      </c>
      <c r="C52">
        <v>156</v>
      </c>
      <c r="D52">
        <v>47</v>
      </c>
      <c r="E52">
        <v>1</v>
      </c>
      <c r="H52">
        <v>257</v>
      </c>
      <c r="I52" t="str">
        <f t="shared" si="0"/>
        <v>High</v>
      </c>
    </row>
    <row r="53" spans="1:9" x14ac:dyDescent="0.35">
      <c r="A53" t="s">
        <v>59</v>
      </c>
      <c r="D53">
        <v>3</v>
      </c>
      <c r="H53">
        <v>3</v>
      </c>
      <c r="I53" t="str">
        <f t="shared" si="0"/>
        <v>Medium</v>
      </c>
    </row>
    <row r="54" spans="1:9" x14ac:dyDescent="0.35">
      <c r="A54" t="s">
        <v>60</v>
      </c>
      <c r="C54">
        <v>2</v>
      </c>
      <c r="D54">
        <v>2</v>
      </c>
      <c r="H54">
        <v>4</v>
      </c>
      <c r="I54" t="str">
        <f t="shared" si="0"/>
        <v>High</v>
      </c>
    </row>
    <row r="55" spans="1:9" x14ac:dyDescent="0.35">
      <c r="A55" t="s">
        <v>61</v>
      </c>
      <c r="C55">
        <v>8</v>
      </c>
      <c r="D55">
        <v>5</v>
      </c>
      <c r="H55">
        <v>13</v>
      </c>
      <c r="I55" t="str">
        <f t="shared" si="0"/>
        <v>High</v>
      </c>
    </row>
    <row r="56" spans="1:9" x14ac:dyDescent="0.35">
      <c r="A56" t="s">
        <v>62</v>
      </c>
      <c r="B56">
        <v>3</v>
      </c>
      <c r="C56">
        <v>19</v>
      </c>
      <c r="D56">
        <v>38</v>
      </c>
      <c r="E56">
        <v>2</v>
      </c>
      <c r="H56">
        <v>62</v>
      </c>
      <c r="I56" t="str">
        <f t="shared" si="0"/>
        <v>Medium</v>
      </c>
    </row>
    <row r="57" spans="1:9" x14ac:dyDescent="0.35">
      <c r="A57" t="s">
        <v>63</v>
      </c>
      <c r="B57">
        <v>6</v>
      </c>
      <c r="C57">
        <v>26</v>
      </c>
      <c r="D57">
        <v>40</v>
      </c>
      <c r="E57">
        <v>13</v>
      </c>
      <c r="H57">
        <v>85</v>
      </c>
      <c r="I57" t="str">
        <f t="shared" si="0"/>
        <v>Medium</v>
      </c>
    </row>
    <row r="58" spans="1:9" x14ac:dyDescent="0.35">
      <c r="A58" t="s">
        <v>64</v>
      </c>
      <c r="D58">
        <v>1</v>
      </c>
      <c r="H58">
        <v>1</v>
      </c>
      <c r="I58" t="str">
        <f t="shared" si="0"/>
        <v>Medium</v>
      </c>
    </row>
    <row r="59" spans="1:9" x14ac:dyDescent="0.35">
      <c r="A59" t="s">
        <v>65</v>
      </c>
      <c r="C59">
        <v>6</v>
      </c>
      <c r="D59">
        <v>6</v>
      </c>
      <c r="H59">
        <v>12</v>
      </c>
      <c r="I59" t="str">
        <f t="shared" si="0"/>
        <v>High</v>
      </c>
    </row>
    <row r="60" spans="1:9" x14ac:dyDescent="0.35">
      <c r="A60" t="s">
        <v>66</v>
      </c>
      <c r="B60">
        <v>60</v>
      </c>
      <c r="C60">
        <v>372</v>
      </c>
      <c r="D60">
        <v>243</v>
      </c>
      <c r="E60">
        <v>17</v>
      </c>
      <c r="F60">
        <v>2</v>
      </c>
      <c r="H60">
        <v>694</v>
      </c>
      <c r="I60" t="str">
        <f t="shared" si="0"/>
        <v>High</v>
      </c>
    </row>
    <row r="61" spans="1:9" x14ac:dyDescent="0.35">
      <c r="A61" t="s">
        <v>67</v>
      </c>
      <c r="B61">
        <v>94</v>
      </c>
      <c r="C61">
        <v>584</v>
      </c>
      <c r="D61">
        <v>554</v>
      </c>
      <c r="E61">
        <v>125</v>
      </c>
      <c r="H61">
        <v>1357</v>
      </c>
      <c r="I61" t="str">
        <f t="shared" si="0"/>
        <v>High</v>
      </c>
    </row>
    <row r="62" spans="1:9" x14ac:dyDescent="0.35">
      <c r="A62" t="s">
        <v>68</v>
      </c>
      <c r="B62">
        <v>9</v>
      </c>
      <c r="C62">
        <v>1</v>
      </c>
      <c r="E62">
        <v>1</v>
      </c>
      <c r="H62">
        <v>11</v>
      </c>
      <c r="I62" t="str">
        <f t="shared" si="0"/>
        <v>Urgent</v>
      </c>
    </row>
    <row r="63" spans="1:9" x14ac:dyDescent="0.35">
      <c r="A63" t="s">
        <v>69</v>
      </c>
      <c r="D63">
        <v>2</v>
      </c>
      <c r="E63">
        <v>1</v>
      </c>
      <c r="H63">
        <v>3</v>
      </c>
      <c r="I63" t="str">
        <f t="shared" si="0"/>
        <v>Medium</v>
      </c>
    </row>
    <row r="64" spans="1:9" x14ac:dyDescent="0.35">
      <c r="A64" t="s">
        <v>70</v>
      </c>
      <c r="E64">
        <v>2</v>
      </c>
      <c r="H64">
        <v>2</v>
      </c>
      <c r="I64" t="str">
        <f t="shared" si="0"/>
        <v>Low</v>
      </c>
    </row>
    <row r="65" spans="1:9" x14ac:dyDescent="0.35">
      <c r="A65" t="s">
        <v>71</v>
      </c>
      <c r="D65">
        <v>2</v>
      </c>
      <c r="E65">
        <v>1</v>
      </c>
      <c r="H65">
        <v>3</v>
      </c>
      <c r="I65" t="str">
        <f t="shared" si="0"/>
        <v>Medium</v>
      </c>
    </row>
    <row r="66" spans="1:9" x14ac:dyDescent="0.35">
      <c r="A66" t="s">
        <v>72</v>
      </c>
      <c r="B66">
        <v>2</v>
      </c>
      <c r="H66">
        <v>2</v>
      </c>
      <c r="I66" t="str">
        <f t="shared" si="0"/>
        <v>Urgent</v>
      </c>
    </row>
    <row r="67" spans="1:9" x14ac:dyDescent="0.35">
      <c r="A67" t="s">
        <v>73</v>
      </c>
      <c r="B67">
        <v>430</v>
      </c>
      <c r="C67">
        <v>2</v>
      </c>
      <c r="H67">
        <v>432</v>
      </c>
      <c r="I67" t="str">
        <f t="shared" ref="I67:I130" si="1">_xlfn.XLOOKUP(MAX(B67:F67),B67:F67,$B$1:$F$1)</f>
        <v>Urgent</v>
      </c>
    </row>
    <row r="68" spans="1:9" x14ac:dyDescent="0.35">
      <c r="A68" t="s">
        <v>74</v>
      </c>
      <c r="B68">
        <v>10</v>
      </c>
      <c r="C68">
        <v>1</v>
      </c>
      <c r="E68">
        <v>1</v>
      </c>
      <c r="H68">
        <v>12</v>
      </c>
      <c r="I68" t="str">
        <f t="shared" si="1"/>
        <v>Urgent</v>
      </c>
    </row>
    <row r="69" spans="1:9" x14ac:dyDescent="0.35">
      <c r="A69" t="s">
        <v>75</v>
      </c>
      <c r="B69">
        <v>436</v>
      </c>
      <c r="C69">
        <v>2</v>
      </c>
      <c r="D69">
        <v>3</v>
      </c>
      <c r="E69">
        <v>8</v>
      </c>
      <c r="H69">
        <v>449</v>
      </c>
      <c r="I69" t="str">
        <f t="shared" si="1"/>
        <v>Urgent</v>
      </c>
    </row>
    <row r="70" spans="1:9" x14ac:dyDescent="0.35">
      <c r="A70" t="s">
        <v>76</v>
      </c>
      <c r="B70">
        <v>1</v>
      </c>
      <c r="H70">
        <v>1</v>
      </c>
      <c r="I70" t="str">
        <f t="shared" si="1"/>
        <v>Urgent</v>
      </c>
    </row>
    <row r="71" spans="1:9" x14ac:dyDescent="0.35">
      <c r="A71" t="s">
        <v>77</v>
      </c>
      <c r="B71">
        <v>3</v>
      </c>
      <c r="D71">
        <v>1</v>
      </c>
      <c r="H71">
        <v>4</v>
      </c>
      <c r="I71" t="str">
        <f t="shared" si="1"/>
        <v>Urgent</v>
      </c>
    </row>
    <row r="72" spans="1:9" x14ac:dyDescent="0.35">
      <c r="A72" t="s">
        <v>78</v>
      </c>
      <c r="B72">
        <v>1</v>
      </c>
      <c r="H72">
        <v>1</v>
      </c>
      <c r="I72" t="str">
        <f t="shared" si="1"/>
        <v>Urgent</v>
      </c>
    </row>
    <row r="73" spans="1:9" x14ac:dyDescent="0.35">
      <c r="A73" t="s">
        <v>79</v>
      </c>
      <c r="B73">
        <v>3</v>
      </c>
      <c r="H73">
        <v>3</v>
      </c>
      <c r="I73" t="str">
        <f t="shared" si="1"/>
        <v>Urgent</v>
      </c>
    </row>
    <row r="74" spans="1:9" x14ac:dyDescent="0.35">
      <c r="A74" t="s">
        <v>80</v>
      </c>
      <c r="B74">
        <v>4</v>
      </c>
      <c r="H74">
        <v>4</v>
      </c>
      <c r="I74" t="str">
        <f t="shared" si="1"/>
        <v>Urgent</v>
      </c>
    </row>
    <row r="75" spans="1:9" x14ac:dyDescent="0.35">
      <c r="A75" t="s">
        <v>81</v>
      </c>
      <c r="B75">
        <v>97</v>
      </c>
      <c r="H75">
        <v>97</v>
      </c>
      <c r="I75" t="str">
        <f t="shared" si="1"/>
        <v>Urgent</v>
      </c>
    </row>
    <row r="76" spans="1:9" x14ac:dyDescent="0.35">
      <c r="A76" t="s">
        <v>82</v>
      </c>
      <c r="B76">
        <v>1306</v>
      </c>
      <c r="C76">
        <v>32</v>
      </c>
      <c r="D76">
        <v>4</v>
      </c>
      <c r="E76">
        <v>9</v>
      </c>
      <c r="H76">
        <v>1351</v>
      </c>
      <c r="I76" t="str">
        <f t="shared" si="1"/>
        <v>Urgent</v>
      </c>
    </row>
    <row r="77" spans="1:9" x14ac:dyDescent="0.35">
      <c r="A77" t="s">
        <v>83</v>
      </c>
      <c r="B77">
        <v>13</v>
      </c>
      <c r="H77">
        <v>13</v>
      </c>
      <c r="I77" t="str">
        <f t="shared" si="1"/>
        <v>Urgent</v>
      </c>
    </row>
    <row r="78" spans="1:9" x14ac:dyDescent="0.35">
      <c r="A78" t="s">
        <v>84</v>
      </c>
      <c r="B78">
        <v>1388</v>
      </c>
      <c r="C78">
        <v>30</v>
      </c>
      <c r="D78">
        <v>4</v>
      </c>
      <c r="E78">
        <v>11</v>
      </c>
      <c r="H78">
        <v>1433</v>
      </c>
      <c r="I78" t="str">
        <f t="shared" si="1"/>
        <v>Urgent</v>
      </c>
    </row>
    <row r="79" spans="1:9" x14ac:dyDescent="0.35">
      <c r="A79" t="s">
        <v>85</v>
      </c>
      <c r="B79">
        <v>19</v>
      </c>
      <c r="H79">
        <v>19</v>
      </c>
      <c r="I79" t="str">
        <f t="shared" si="1"/>
        <v>Urgent</v>
      </c>
    </row>
    <row r="80" spans="1:9" x14ac:dyDescent="0.35">
      <c r="A80" t="s">
        <v>86</v>
      </c>
      <c r="B80">
        <v>4</v>
      </c>
      <c r="H80">
        <v>4</v>
      </c>
      <c r="I80" t="str">
        <f t="shared" si="1"/>
        <v>Urgent</v>
      </c>
    </row>
    <row r="81" spans="1:9" x14ac:dyDescent="0.35">
      <c r="A81" t="s">
        <v>87</v>
      </c>
      <c r="B81">
        <v>257</v>
      </c>
      <c r="C81">
        <v>5</v>
      </c>
      <c r="D81">
        <v>1</v>
      </c>
      <c r="E81">
        <v>2</v>
      </c>
      <c r="H81">
        <v>265</v>
      </c>
      <c r="I81" t="str">
        <f t="shared" si="1"/>
        <v>Urgent</v>
      </c>
    </row>
    <row r="82" spans="1:9" x14ac:dyDescent="0.35">
      <c r="A82" t="s">
        <v>88</v>
      </c>
      <c r="B82">
        <v>11</v>
      </c>
      <c r="H82">
        <v>11</v>
      </c>
      <c r="I82" t="str">
        <f t="shared" si="1"/>
        <v>Urgent</v>
      </c>
    </row>
    <row r="83" spans="1:9" x14ac:dyDescent="0.35">
      <c r="A83" t="s">
        <v>89</v>
      </c>
      <c r="B83">
        <v>27</v>
      </c>
      <c r="C83">
        <v>1</v>
      </c>
      <c r="D83">
        <v>1</v>
      </c>
      <c r="E83">
        <v>1</v>
      </c>
      <c r="H83">
        <v>30</v>
      </c>
      <c r="I83" t="str">
        <f t="shared" si="1"/>
        <v>Urgent</v>
      </c>
    </row>
    <row r="84" spans="1:9" x14ac:dyDescent="0.35">
      <c r="A84" t="s">
        <v>90</v>
      </c>
      <c r="B84">
        <v>3</v>
      </c>
      <c r="H84">
        <v>3</v>
      </c>
      <c r="I84" t="str">
        <f t="shared" si="1"/>
        <v>Urgent</v>
      </c>
    </row>
    <row r="85" spans="1:9" x14ac:dyDescent="0.35">
      <c r="A85" t="s">
        <v>91</v>
      </c>
      <c r="B85">
        <v>1</v>
      </c>
      <c r="H85">
        <v>1</v>
      </c>
      <c r="I85" t="str">
        <f t="shared" si="1"/>
        <v>Urgent</v>
      </c>
    </row>
    <row r="86" spans="1:9" x14ac:dyDescent="0.35">
      <c r="A86" t="s">
        <v>92</v>
      </c>
      <c r="B86">
        <v>3</v>
      </c>
      <c r="H86">
        <v>3</v>
      </c>
      <c r="I86" t="str">
        <f t="shared" si="1"/>
        <v>Urgent</v>
      </c>
    </row>
    <row r="87" spans="1:9" x14ac:dyDescent="0.35">
      <c r="A87" t="s">
        <v>93</v>
      </c>
      <c r="B87">
        <v>1</v>
      </c>
      <c r="H87">
        <v>1</v>
      </c>
      <c r="I87" t="str">
        <f t="shared" si="1"/>
        <v>Urgent</v>
      </c>
    </row>
    <row r="88" spans="1:9" x14ac:dyDescent="0.35">
      <c r="A88" t="s">
        <v>94</v>
      </c>
      <c r="D88">
        <v>1</v>
      </c>
      <c r="H88">
        <v>1</v>
      </c>
      <c r="I88" t="str">
        <f t="shared" si="1"/>
        <v>Medium</v>
      </c>
    </row>
    <row r="89" spans="1:9" x14ac:dyDescent="0.35">
      <c r="A89" t="s">
        <v>95</v>
      </c>
      <c r="D89">
        <v>5</v>
      </c>
      <c r="H89">
        <v>5</v>
      </c>
      <c r="I89" t="str">
        <f t="shared" si="1"/>
        <v>Medium</v>
      </c>
    </row>
    <row r="90" spans="1:9" x14ac:dyDescent="0.35">
      <c r="A90" t="s">
        <v>96</v>
      </c>
      <c r="D90">
        <v>1</v>
      </c>
      <c r="H90">
        <v>1</v>
      </c>
      <c r="I90" t="str">
        <f t="shared" si="1"/>
        <v>Medium</v>
      </c>
    </row>
    <row r="91" spans="1:9" x14ac:dyDescent="0.35">
      <c r="A91" t="s">
        <v>97</v>
      </c>
      <c r="D91">
        <v>3</v>
      </c>
      <c r="H91">
        <v>3</v>
      </c>
      <c r="I91" t="str">
        <f t="shared" si="1"/>
        <v>Medium</v>
      </c>
    </row>
    <row r="92" spans="1:9" x14ac:dyDescent="0.35">
      <c r="A92" t="s">
        <v>98</v>
      </c>
      <c r="D92">
        <v>1</v>
      </c>
      <c r="H92">
        <v>1</v>
      </c>
      <c r="I92" t="str">
        <f t="shared" si="1"/>
        <v>Medium</v>
      </c>
    </row>
    <row r="93" spans="1:9" x14ac:dyDescent="0.35">
      <c r="A93" t="s">
        <v>99</v>
      </c>
      <c r="B93">
        <v>4</v>
      </c>
      <c r="C93">
        <v>12</v>
      </c>
      <c r="D93">
        <v>33</v>
      </c>
      <c r="E93">
        <v>4</v>
      </c>
      <c r="H93">
        <v>53</v>
      </c>
      <c r="I93" t="str">
        <f t="shared" si="1"/>
        <v>Medium</v>
      </c>
    </row>
    <row r="94" spans="1:9" x14ac:dyDescent="0.35">
      <c r="A94" t="s">
        <v>100</v>
      </c>
      <c r="C94">
        <v>41</v>
      </c>
      <c r="D94">
        <v>129</v>
      </c>
      <c r="E94">
        <v>79</v>
      </c>
      <c r="H94">
        <v>249</v>
      </c>
      <c r="I94" t="str">
        <f t="shared" si="1"/>
        <v>Medium</v>
      </c>
    </row>
    <row r="95" spans="1:9" x14ac:dyDescent="0.35">
      <c r="A95" t="s">
        <v>101</v>
      </c>
      <c r="C95">
        <v>4</v>
      </c>
      <c r="D95">
        <v>4</v>
      </c>
      <c r="F95">
        <v>2</v>
      </c>
      <c r="H95">
        <v>10</v>
      </c>
      <c r="I95" t="str">
        <f t="shared" si="1"/>
        <v>High</v>
      </c>
    </row>
    <row r="96" spans="1:9" x14ac:dyDescent="0.35">
      <c r="A96" t="s">
        <v>102</v>
      </c>
      <c r="C96">
        <v>31</v>
      </c>
      <c r="D96">
        <v>120</v>
      </c>
      <c r="E96">
        <v>60</v>
      </c>
      <c r="H96">
        <v>211</v>
      </c>
      <c r="I96" t="str">
        <f t="shared" si="1"/>
        <v>Medium</v>
      </c>
    </row>
    <row r="97" spans="1:9" x14ac:dyDescent="0.35">
      <c r="A97" t="s">
        <v>103</v>
      </c>
      <c r="F97">
        <v>1</v>
      </c>
      <c r="H97">
        <v>1</v>
      </c>
      <c r="I97" t="str">
        <f t="shared" si="1"/>
        <v>V Low</v>
      </c>
    </row>
    <row r="98" spans="1:9" x14ac:dyDescent="0.35">
      <c r="A98" t="s">
        <v>104</v>
      </c>
      <c r="C98">
        <v>11</v>
      </c>
      <c r="D98">
        <v>9</v>
      </c>
      <c r="E98">
        <v>1</v>
      </c>
      <c r="F98">
        <v>3</v>
      </c>
      <c r="H98">
        <v>24</v>
      </c>
      <c r="I98" t="str">
        <f t="shared" si="1"/>
        <v>High</v>
      </c>
    </row>
    <row r="99" spans="1:9" x14ac:dyDescent="0.35">
      <c r="A99" t="s">
        <v>105</v>
      </c>
      <c r="C99">
        <v>1</v>
      </c>
      <c r="D99">
        <v>11</v>
      </c>
      <c r="H99">
        <v>12</v>
      </c>
      <c r="I99" t="str">
        <f t="shared" si="1"/>
        <v>Medium</v>
      </c>
    </row>
    <row r="100" spans="1:9" x14ac:dyDescent="0.35">
      <c r="A100" t="s">
        <v>106</v>
      </c>
      <c r="C100">
        <v>2</v>
      </c>
      <c r="D100">
        <v>34</v>
      </c>
      <c r="E100">
        <v>8</v>
      </c>
      <c r="H100">
        <v>44</v>
      </c>
      <c r="I100" t="str">
        <f t="shared" si="1"/>
        <v>Medium</v>
      </c>
    </row>
    <row r="101" spans="1:9" x14ac:dyDescent="0.35">
      <c r="A101" t="s">
        <v>107</v>
      </c>
      <c r="B101">
        <v>1</v>
      </c>
      <c r="C101">
        <v>4</v>
      </c>
      <c r="D101">
        <v>33</v>
      </c>
      <c r="E101">
        <v>1</v>
      </c>
      <c r="F101">
        <v>1</v>
      </c>
      <c r="H101">
        <v>40</v>
      </c>
      <c r="I101" t="str">
        <f t="shared" si="1"/>
        <v>Medium</v>
      </c>
    </row>
    <row r="102" spans="1:9" x14ac:dyDescent="0.35">
      <c r="A102" t="s">
        <v>108</v>
      </c>
      <c r="C102">
        <v>1</v>
      </c>
      <c r="D102">
        <v>10</v>
      </c>
      <c r="E102">
        <v>2</v>
      </c>
      <c r="H102">
        <v>13</v>
      </c>
      <c r="I102" t="str">
        <f t="shared" si="1"/>
        <v>Medium</v>
      </c>
    </row>
    <row r="103" spans="1:9" x14ac:dyDescent="0.35">
      <c r="A103" t="s">
        <v>109</v>
      </c>
      <c r="B103">
        <v>2</v>
      </c>
      <c r="C103">
        <v>43</v>
      </c>
      <c r="D103">
        <v>43</v>
      </c>
      <c r="E103">
        <v>29</v>
      </c>
      <c r="F103">
        <v>1</v>
      </c>
      <c r="H103">
        <v>118</v>
      </c>
      <c r="I103" t="str">
        <f t="shared" si="1"/>
        <v>High</v>
      </c>
    </row>
    <row r="104" spans="1:9" x14ac:dyDescent="0.35">
      <c r="A104" t="s">
        <v>110</v>
      </c>
      <c r="E104">
        <v>3</v>
      </c>
      <c r="H104">
        <v>3</v>
      </c>
      <c r="I104" t="str">
        <f t="shared" si="1"/>
        <v>Low</v>
      </c>
    </row>
    <row r="105" spans="1:9" x14ac:dyDescent="0.35">
      <c r="A105" t="s">
        <v>111</v>
      </c>
      <c r="E105">
        <v>1</v>
      </c>
      <c r="H105">
        <v>1</v>
      </c>
      <c r="I105" t="str">
        <f t="shared" si="1"/>
        <v>Low</v>
      </c>
    </row>
    <row r="106" spans="1:9" x14ac:dyDescent="0.35">
      <c r="A106" t="s">
        <v>112</v>
      </c>
      <c r="F106">
        <v>1</v>
      </c>
      <c r="H106">
        <v>1</v>
      </c>
      <c r="I106" t="str">
        <f t="shared" si="1"/>
        <v>V Low</v>
      </c>
    </row>
    <row r="107" spans="1:9" x14ac:dyDescent="0.35">
      <c r="A107" t="s">
        <v>113</v>
      </c>
      <c r="C107">
        <v>1</v>
      </c>
      <c r="D107">
        <v>2</v>
      </c>
      <c r="H107">
        <v>3</v>
      </c>
      <c r="I107" t="str">
        <f t="shared" si="1"/>
        <v>Medium</v>
      </c>
    </row>
    <row r="108" spans="1:9" x14ac:dyDescent="0.35">
      <c r="A108" t="s">
        <v>114</v>
      </c>
      <c r="D108">
        <v>1</v>
      </c>
      <c r="H108">
        <v>1</v>
      </c>
      <c r="I108" t="str">
        <f t="shared" si="1"/>
        <v>Medium</v>
      </c>
    </row>
    <row r="109" spans="1:9" x14ac:dyDescent="0.35">
      <c r="A109" t="s">
        <v>115</v>
      </c>
      <c r="B109">
        <v>1</v>
      </c>
      <c r="C109">
        <v>1</v>
      </c>
      <c r="D109">
        <v>2</v>
      </c>
      <c r="H109">
        <v>4</v>
      </c>
      <c r="I109" t="str">
        <f t="shared" si="1"/>
        <v>Medium</v>
      </c>
    </row>
    <row r="110" spans="1:9" x14ac:dyDescent="0.35">
      <c r="A110" t="s">
        <v>116</v>
      </c>
      <c r="B110">
        <v>3</v>
      </c>
      <c r="C110">
        <v>20</v>
      </c>
      <c r="D110">
        <v>18</v>
      </c>
      <c r="F110">
        <v>2</v>
      </c>
      <c r="H110">
        <v>43</v>
      </c>
      <c r="I110" t="str">
        <f t="shared" si="1"/>
        <v>High</v>
      </c>
    </row>
    <row r="111" spans="1:9" x14ac:dyDescent="0.35">
      <c r="A111" t="s">
        <v>117</v>
      </c>
      <c r="C111">
        <v>13</v>
      </c>
      <c r="D111">
        <v>53</v>
      </c>
      <c r="E111">
        <v>1</v>
      </c>
      <c r="H111">
        <v>67</v>
      </c>
      <c r="I111" t="str">
        <f t="shared" si="1"/>
        <v>Medium</v>
      </c>
    </row>
    <row r="112" spans="1:9" x14ac:dyDescent="0.35">
      <c r="A112" t="s">
        <v>118</v>
      </c>
      <c r="D112">
        <v>4</v>
      </c>
      <c r="H112">
        <v>4</v>
      </c>
      <c r="I112" t="str">
        <f t="shared" si="1"/>
        <v>Medium</v>
      </c>
    </row>
    <row r="113" spans="1:9" x14ac:dyDescent="0.35">
      <c r="A113" t="s">
        <v>119</v>
      </c>
      <c r="B113">
        <v>1</v>
      </c>
      <c r="C113">
        <v>4</v>
      </c>
      <c r="D113">
        <v>7</v>
      </c>
      <c r="E113">
        <v>1</v>
      </c>
      <c r="H113">
        <v>13</v>
      </c>
      <c r="I113" t="str">
        <f t="shared" si="1"/>
        <v>Medium</v>
      </c>
    </row>
    <row r="114" spans="1:9" x14ac:dyDescent="0.35">
      <c r="A114" t="s">
        <v>120</v>
      </c>
      <c r="B114">
        <v>2</v>
      </c>
      <c r="C114">
        <v>4</v>
      </c>
      <c r="D114">
        <v>6</v>
      </c>
      <c r="E114">
        <v>5</v>
      </c>
      <c r="H114">
        <v>17</v>
      </c>
      <c r="I114" t="str">
        <f t="shared" si="1"/>
        <v>Medium</v>
      </c>
    </row>
    <row r="115" spans="1:9" x14ac:dyDescent="0.35">
      <c r="A115" t="s">
        <v>121</v>
      </c>
      <c r="B115">
        <v>1</v>
      </c>
      <c r="C115">
        <v>30</v>
      </c>
      <c r="D115">
        <v>60</v>
      </c>
      <c r="E115">
        <v>11</v>
      </c>
      <c r="F115">
        <v>2</v>
      </c>
      <c r="H115">
        <v>104</v>
      </c>
      <c r="I115" t="str">
        <f t="shared" si="1"/>
        <v>Medium</v>
      </c>
    </row>
    <row r="116" spans="1:9" x14ac:dyDescent="0.35">
      <c r="A116" t="s">
        <v>122</v>
      </c>
      <c r="D116">
        <v>1</v>
      </c>
      <c r="H116">
        <v>1</v>
      </c>
      <c r="I116" t="str">
        <f t="shared" si="1"/>
        <v>Medium</v>
      </c>
    </row>
    <row r="117" spans="1:9" x14ac:dyDescent="0.35">
      <c r="A117" t="s">
        <v>123</v>
      </c>
      <c r="D117">
        <v>5</v>
      </c>
      <c r="H117">
        <v>5</v>
      </c>
      <c r="I117" t="str">
        <f t="shared" si="1"/>
        <v>Medium</v>
      </c>
    </row>
    <row r="118" spans="1:9" x14ac:dyDescent="0.35">
      <c r="A118" t="s">
        <v>124</v>
      </c>
      <c r="B118">
        <v>2</v>
      </c>
      <c r="H118">
        <v>2</v>
      </c>
      <c r="I118" t="str">
        <f t="shared" si="1"/>
        <v>Urgent</v>
      </c>
    </row>
    <row r="119" spans="1:9" x14ac:dyDescent="0.35">
      <c r="A119" t="s">
        <v>125</v>
      </c>
      <c r="C119">
        <v>2</v>
      </c>
      <c r="D119">
        <v>4</v>
      </c>
      <c r="H119">
        <v>6</v>
      </c>
      <c r="I119" t="str">
        <f t="shared" si="1"/>
        <v>Medium</v>
      </c>
    </row>
    <row r="120" spans="1:9" x14ac:dyDescent="0.35">
      <c r="A120" t="s">
        <v>126</v>
      </c>
      <c r="D120">
        <v>1</v>
      </c>
      <c r="H120">
        <v>1</v>
      </c>
      <c r="I120" t="str">
        <f t="shared" si="1"/>
        <v>Medium</v>
      </c>
    </row>
    <row r="121" spans="1:9" x14ac:dyDescent="0.35">
      <c r="A121" t="s">
        <v>127</v>
      </c>
      <c r="B121">
        <v>1</v>
      </c>
      <c r="D121">
        <v>1</v>
      </c>
      <c r="E121">
        <v>2</v>
      </c>
      <c r="H121">
        <v>4</v>
      </c>
      <c r="I121" t="str">
        <f t="shared" si="1"/>
        <v>Low</v>
      </c>
    </row>
    <row r="122" spans="1:9" x14ac:dyDescent="0.35">
      <c r="A122" t="s">
        <v>128</v>
      </c>
      <c r="B122">
        <v>33</v>
      </c>
      <c r="C122">
        <v>8</v>
      </c>
      <c r="D122">
        <v>1</v>
      </c>
      <c r="H122">
        <v>42</v>
      </c>
      <c r="I122" t="str">
        <f t="shared" si="1"/>
        <v>Urgent</v>
      </c>
    </row>
    <row r="123" spans="1:9" x14ac:dyDescent="0.35">
      <c r="A123" t="s">
        <v>129</v>
      </c>
      <c r="B123">
        <v>43</v>
      </c>
      <c r="H123">
        <v>43</v>
      </c>
      <c r="I123" t="str">
        <f t="shared" si="1"/>
        <v>Urgent</v>
      </c>
    </row>
    <row r="124" spans="1:9" x14ac:dyDescent="0.35">
      <c r="A124" t="s">
        <v>130</v>
      </c>
      <c r="B124">
        <v>1</v>
      </c>
      <c r="C124">
        <v>1</v>
      </c>
      <c r="H124">
        <v>2</v>
      </c>
      <c r="I124" t="str">
        <f t="shared" si="1"/>
        <v>Urgent</v>
      </c>
    </row>
    <row r="125" spans="1:9" x14ac:dyDescent="0.35">
      <c r="A125" t="s">
        <v>131</v>
      </c>
      <c r="C125">
        <v>1</v>
      </c>
      <c r="H125">
        <v>1</v>
      </c>
      <c r="I125" t="str">
        <f t="shared" si="1"/>
        <v>High</v>
      </c>
    </row>
    <row r="126" spans="1:9" x14ac:dyDescent="0.35">
      <c r="A126" t="s">
        <v>132</v>
      </c>
      <c r="D126">
        <v>10</v>
      </c>
      <c r="H126">
        <v>10</v>
      </c>
      <c r="I126" t="str">
        <f t="shared" si="1"/>
        <v>Medium</v>
      </c>
    </row>
    <row r="127" spans="1:9" x14ac:dyDescent="0.35">
      <c r="A127" t="s">
        <v>133</v>
      </c>
      <c r="D127">
        <v>1</v>
      </c>
      <c r="E127">
        <v>1</v>
      </c>
      <c r="H127">
        <v>2</v>
      </c>
      <c r="I127" t="str">
        <f t="shared" si="1"/>
        <v>Medium</v>
      </c>
    </row>
    <row r="128" spans="1:9" x14ac:dyDescent="0.35">
      <c r="A128" t="s">
        <v>134</v>
      </c>
      <c r="D128">
        <v>16</v>
      </c>
      <c r="H128">
        <v>16</v>
      </c>
      <c r="I128" t="str">
        <f t="shared" si="1"/>
        <v>Medium</v>
      </c>
    </row>
    <row r="129" spans="1:9" x14ac:dyDescent="0.35">
      <c r="A129" t="s">
        <v>135</v>
      </c>
      <c r="C129">
        <v>1</v>
      </c>
      <c r="D129">
        <v>199</v>
      </c>
      <c r="H129">
        <v>200</v>
      </c>
      <c r="I129" t="str">
        <f t="shared" si="1"/>
        <v>Medium</v>
      </c>
    </row>
    <row r="130" spans="1:9" x14ac:dyDescent="0.35">
      <c r="A130" t="s">
        <v>136</v>
      </c>
      <c r="C130">
        <v>3</v>
      </c>
      <c r="H130">
        <v>3</v>
      </c>
      <c r="I130" t="str">
        <f t="shared" si="1"/>
        <v>High</v>
      </c>
    </row>
    <row r="131" spans="1:9" x14ac:dyDescent="0.35">
      <c r="A131" t="s">
        <v>137</v>
      </c>
      <c r="D131">
        <v>1</v>
      </c>
      <c r="H131">
        <v>1</v>
      </c>
      <c r="I131" t="str">
        <f t="shared" ref="I131:I194" si="2">_xlfn.XLOOKUP(MAX(B131:F131),B131:F131,$B$1:$F$1)</f>
        <v>Medium</v>
      </c>
    </row>
    <row r="132" spans="1:9" x14ac:dyDescent="0.35">
      <c r="A132" t="s">
        <v>138</v>
      </c>
      <c r="D132">
        <v>4</v>
      </c>
      <c r="H132">
        <v>4</v>
      </c>
      <c r="I132" t="str">
        <f t="shared" si="2"/>
        <v>Medium</v>
      </c>
    </row>
    <row r="133" spans="1:9" x14ac:dyDescent="0.35">
      <c r="A133" t="s">
        <v>139</v>
      </c>
      <c r="D133">
        <v>81</v>
      </c>
      <c r="H133">
        <v>81</v>
      </c>
      <c r="I133" t="str">
        <f t="shared" si="2"/>
        <v>Medium</v>
      </c>
    </row>
    <row r="134" spans="1:9" x14ac:dyDescent="0.35">
      <c r="A134" t="s">
        <v>140</v>
      </c>
      <c r="C134">
        <v>2</v>
      </c>
      <c r="D134">
        <v>29</v>
      </c>
      <c r="H134">
        <v>31</v>
      </c>
      <c r="I134" t="str">
        <f t="shared" si="2"/>
        <v>Medium</v>
      </c>
    </row>
    <row r="135" spans="1:9" x14ac:dyDescent="0.35">
      <c r="A135" t="s">
        <v>141</v>
      </c>
      <c r="C135">
        <v>1</v>
      </c>
      <c r="D135">
        <v>6</v>
      </c>
      <c r="H135">
        <v>7</v>
      </c>
      <c r="I135" t="str">
        <f t="shared" si="2"/>
        <v>Medium</v>
      </c>
    </row>
    <row r="136" spans="1:9" x14ac:dyDescent="0.35">
      <c r="A136" t="s">
        <v>142</v>
      </c>
      <c r="B136">
        <v>1</v>
      </c>
      <c r="C136">
        <v>112</v>
      </c>
      <c r="D136">
        <v>7</v>
      </c>
      <c r="H136">
        <v>120</v>
      </c>
      <c r="I136" t="str">
        <f t="shared" si="2"/>
        <v>High</v>
      </c>
    </row>
    <row r="137" spans="1:9" x14ac:dyDescent="0.35">
      <c r="A137" t="s">
        <v>143</v>
      </c>
      <c r="C137">
        <v>1</v>
      </c>
      <c r="H137">
        <v>1</v>
      </c>
      <c r="I137" t="str">
        <f t="shared" si="2"/>
        <v>High</v>
      </c>
    </row>
    <row r="138" spans="1:9" x14ac:dyDescent="0.35">
      <c r="A138" t="s">
        <v>144</v>
      </c>
      <c r="C138">
        <v>3</v>
      </c>
      <c r="D138">
        <v>1</v>
      </c>
      <c r="H138">
        <v>4</v>
      </c>
      <c r="I138" t="str">
        <f t="shared" si="2"/>
        <v>High</v>
      </c>
    </row>
    <row r="139" spans="1:9" x14ac:dyDescent="0.35">
      <c r="A139" t="s">
        <v>145</v>
      </c>
      <c r="D139">
        <v>4</v>
      </c>
      <c r="E139">
        <v>4</v>
      </c>
      <c r="H139">
        <v>8</v>
      </c>
      <c r="I139" t="str">
        <f t="shared" si="2"/>
        <v>Medium</v>
      </c>
    </row>
    <row r="140" spans="1:9" x14ac:dyDescent="0.35">
      <c r="A140" t="s">
        <v>146</v>
      </c>
      <c r="C140">
        <v>4</v>
      </c>
      <c r="D140">
        <v>56</v>
      </c>
      <c r="H140">
        <v>60</v>
      </c>
      <c r="I140" t="str">
        <f t="shared" si="2"/>
        <v>Medium</v>
      </c>
    </row>
    <row r="141" spans="1:9" x14ac:dyDescent="0.35">
      <c r="A141" t="s">
        <v>147</v>
      </c>
      <c r="D141">
        <v>11</v>
      </c>
      <c r="H141">
        <v>11</v>
      </c>
      <c r="I141" t="str">
        <f t="shared" si="2"/>
        <v>Medium</v>
      </c>
    </row>
    <row r="142" spans="1:9" x14ac:dyDescent="0.35">
      <c r="A142" t="s">
        <v>148</v>
      </c>
      <c r="D142">
        <v>3</v>
      </c>
      <c r="H142">
        <v>3</v>
      </c>
      <c r="I142" t="str">
        <f t="shared" si="2"/>
        <v>Medium</v>
      </c>
    </row>
    <row r="143" spans="1:9" x14ac:dyDescent="0.35">
      <c r="A143" t="s">
        <v>149</v>
      </c>
      <c r="C143">
        <v>2</v>
      </c>
      <c r="D143">
        <v>64</v>
      </c>
      <c r="E143">
        <v>13</v>
      </c>
      <c r="F143">
        <v>1</v>
      </c>
      <c r="H143">
        <v>80</v>
      </c>
      <c r="I143" t="str">
        <f t="shared" si="2"/>
        <v>Medium</v>
      </c>
    </row>
    <row r="144" spans="1:9" x14ac:dyDescent="0.35">
      <c r="A144" t="s">
        <v>150</v>
      </c>
      <c r="D144">
        <v>6</v>
      </c>
      <c r="H144">
        <v>6</v>
      </c>
      <c r="I144" t="str">
        <f t="shared" si="2"/>
        <v>Medium</v>
      </c>
    </row>
    <row r="145" spans="1:9" x14ac:dyDescent="0.35">
      <c r="A145" t="s">
        <v>151</v>
      </c>
      <c r="C145">
        <v>2</v>
      </c>
      <c r="D145">
        <v>68</v>
      </c>
      <c r="E145">
        <v>288</v>
      </c>
      <c r="F145">
        <v>6</v>
      </c>
      <c r="H145">
        <v>364</v>
      </c>
      <c r="I145" t="str">
        <f t="shared" si="2"/>
        <v>Low</v>
      </c>
    </row>
    <row r="146" spans="1:9" x14ac:dyDescent="0.35">
      <c r="A146" t="s">
        <v>152</v>
      </c>
      <c r="C146">
        <v>5</v>
      </c>
      <c r="D146">
        <v>487</v>
      </c>
      <c r="E146">
        <v>23</v>
      </c>
      <c r="F146">
        <v>12</v>
      </c>
      <c r="H146">
        <v>527</v>
      </c>
      <c r="I146" t="str">
        <f t="shared" si="2"/>
        <v>Medium</v>
      </c>
    </row>
    <row r="147" spans="1:9" x14ac:dyDescent="0.35">
      <c r="A147" t="s">
        <v>153</v>
      </c>
      <c r="D147">
        <v>11</v>
      </c>
      <c r="H147">
        <v>11</v>
      </c>
      <c r="I147" t="str">
        <f t="shared" si="2"/>
        <v>Medium</v>
      </c>
    </row>
    <row r="148" spans="1:9" x14ac:dyDescent="0.35">
      <c r="A148" t="s">
        <v>154</v>
      </c>
      <c r="C148">
        <v>22</v>
      </c>
      <c r="D148">
        <v>154</v>
      </c>
      <c r="E148">
        <v>19</v>
      </c>
      <c r="H148">
        <v>195</v>
      </c>
      <c r="I148" t="str">
        <f t="shared" si="2"/>
        <v>Medium</v>
      </c>
    </row>
    <row r="149" spans="1:9" x14ac:dyDescent="0.35">
      <c r="A149" t="s">
        <v>155</v>
      </c>
      <c r="C149">
        <v>6</v>
      </c>
      <c r="D149">
        <v>494</v>
      </c>
      <c r="E149">
        <v>340</v>
      </c>
      <c r="F149">
        <v>103</v>
      </c>
      <c r="H149">
        <v>943</v>
      </c>
      <c r="I149" t="str">
        <f t="shared" si="2"/>
        <v>Medium</v>
      </c>
    </row>
    <row r="150" spans="1:9" x14ac:dyDescent="0.35">
      <c r="A150" t="s">
        <v>156</v>
      </c>
      <c r="B150">
        <v>1</v>
      </c>
      <c r="D150">
        <v>20</v>
      </c>
      <c r="E150">
        <v>3</v>
      </c>
      <c r="H150">
        <v>24</v>
      </c>
      <c r="I150" t="str">
        <f t="shared" si="2"/>
        <v>Medium</v>
      </c>
    </row>
    <row r="151" spans="1:9" x14ac:dyDescent="0.35">
      <c r="A151" t="s">
        <v>157</v>
      </c>
      <c r="C151">
        <v>10</v>
      </c>
      <c r="D151">
        <v>663</v>
      </c>
      <c r="E151">
        <v>82</v>
      </c>
      <c r="F151">
        <v>4</v>
      </c>
      <c r="H151">
        <v>759</v>
      </c>
      <c r="I151" t="str">
        <f t="shared" si="2"/>
        <v>Medium</v>
      </c>
    </row>
    <row r="152" spans="1:9" x14ac:dyDescent="0.35">
      <c r="A152" s="6" t="s">
        <v>158</v>
      </c>
      <c r="C152">
        <v>1</v>
      </c>
      <c r="D152">
        <v>9</v>
      </c>
      <c r="F152">
        <v>1</v>
      </c>
      <c r="H152">
        <v>11</v>
      </c>
      <c r="I152" t="str">
        <f t="shared" si="2"/>
        <v>Medium</v>
      </c>
    </row>
    <row r="153" spans="1:9" x14ac:dyDescent="0.35">
      <c r="A153" t="s">
        <v>159</v>
      </c>
      <c r="C153">
        <v>1</v>
      </c>
      <c r="H153">
        <v>1</v>
      </c>
      <c r="I153" t="str">
        <f t="shared" si="2"/>
        <v>High</v>
      </c>
    </row>
    <row r="154" spans="1:9" x14ac:dyDescent="0.35">
      <c r="A154" t="s">
        <v>160</v>
      </c>
      <c r="D154">
        <v>24</v>
      </c>
      <c r="E154">
        <v>165</v>
      </c>
      <c r="F154">
        <v>1</v>
      </c>
      <c r="H154">
        <v>190</v>
      </c>
      <c r="I154" t="str">
        <f t="shared" si="2"/>
        <v>Low</v>
      </c>
    </row>
    <row r="155" spans="1:9" x14ac:dyDescent="0.35">
      <c r="A155" t="s">
        <v>161</v>
      </c>
      <c r="B155">
        <v>1</v>
      </c>
      <c r="C155">
        <v>1</v>
      </c>
      <c r="D155">
        <v>56</v>
      </c>
      <c r="E155">
        <v>1</v>
      </c>
      <c r="H155">
        <v>59</v>
      </c>
      <c r="I155" t="str">
        <f t="shared" si="2"/>
        <v>Medium</v>
      </c>
    </row>
    <row r="156" spans="1:9" x14ac:dyDescent="0.35">
      <c r="A156" t="s">
        <v>162</v>
      </c>
      <c r="D156">
        <v>1</v>
      </c>
      <c r="H156">
        <v>1</v>
      </c>
      <c r="I156" t="str">
        <f t="shared" si="2"/>
        <v>Medium</v>
      </c>
    </row>
    <row r="157" spans="1:9" x14ac:dyDescent="0.35">
      <c r="A157" t="s">
        <v>163</v>
      </c>
      <c r="D157">
        <v>5</v>
      </c>
      <c r="H157">
        <v>5</v>
      </c>
      <c r="I157" t="str">
        <f t="shared" si="2"/>
        <v>Medium</v>
      </c>
    </row>
    <row r="158" spans="1:9" x14ac:dyDescent="0.35">
      <c r="A158" t="s">
        <v>164</v>
      </c>
      <c r="D158">
        <v>4</v>
      </c>
      <c r="H158">
        <v>4</v>
      </c>
      <c r="I158" t="str">
        <f t="shared" si="2"/>
        <v>Medium</v>
      </c>
    </row>
    <row r="159" spans="1:9" x14ac:dyDescent="0.35">
      <c r="A159" t="s">
        <v>165</v>
      </c>
      <c r="C159">
        <v>6</v>
      </c>
      <c r="D159">
        <v>144</v>
      </c>
      <c r="E159">
        <v>36</v>
      </c>
      <c r="F159">
        <v>7</v>
      </c>
      <c r="H159">
        <v>193</v>
      </c>
      <c r="I159" t="str">
        <f t="shared" si="2"/>
        <v>Medium</v>
      </c>
    </row>
    <row r="160" spans="1:9" x14ac:dyDescent="0.35">
      <c r="A160" t="s">
        <v>166</v>
      </c>
      <c r="B160">
        <v>29</v>
      </c>
      <c r="D160">
        <v>1</v>
      </c>
      <c r="E160">
        <v>2</v>
      </c>
      <c r="H160">
        <v>32</v>
      </c>
      <c r="I160" t="str">
        <f t="shared" si="2"/>
        <v>Urgent</v>
      </c>
    </row>
    <row r="161" spans="1:9" x14ac:dyDescent="0.35">
      <c r="A161" t="s">
        <v>167</v>
      </c>
      <c r="C161">
        <v>2</v>
      </c>
      <c r="H161">
        <v>2</v>
      </c>
      <c r="I161" t="str">
        <f t="shared" si="2"/>
        <v>High</v>
      </c>
    </row>
    <row r="162" spans="1:9" x14ac:dyDescent="0.35">
      <c r="A162" t="s">
        <v>168</v>
      </c>
      <c r="C162">
        <v>2</v>
      </c>
      <c r="D162">
        <v>2</v>
      </c>
      <c r="E162">
        <v>1</v>
      </c>
      <c r="H162">
        <v>5</v>
      </c>
      <c r="I162" t="str">
        <f t="shared" si="2"/>
        <v>High</v>
      </c>
    </row>
    <row r="163" spans="1:9" x14ac:dyDescent="0.35">
      <c r="A163" t="s">
        <v>169</v>
      </c>
      <c r="D163">
        <v>31</v>
      </c>
      <c r="E163">
        <v>2</v>
      </c>
      <c r="H163">
        <v>33</v>
      </c>
      <c r="I163" t="str">
        <f t="shared" si="2"/>
        <v>Medium</v>
      </c>
    </row>
    <row r="164" spans="1:9" x14ac:dyDescent="0.35">
      <c r="A164" t="s">
        <v>170</v>
      </c>
      <c r="C164">
        <v>11</v>
      </c>
      <c r="D164">
        <v>295</v>
      </c>
      <c r="E164">
        <v>87</v>
      </c>
      <c r="F164">
        <v>16</v>
      </c>
      <c r="H164">
        <v>409</v>
      </c>
      <c r="I164" t="str">
        <f t="shared" si="2"/>
        <v>Medium</v>
      </c>
    </row>
    <row r="165" spans="1:9" x14ac:dyDescent="0.35">
      <c r="A165" t="s">
        <v>171</v>
      </c>
      <c r="C165">
        <v>2</v>
      </c>
      <c r="D165">
        <v>31</v>
      </c>
      <c r="E165">
        <v>22</v>
      </c>
      <c r="F165">
        <v>1</v>
      </c>
      <c r="H165">
        <v>56</v>
      </c>
      <c r="I165" t="str">
        <f t="shared" si="2"/>
        <v>Medium</v>
      </c>
    </row>
    <row r="166" spans="1:9" x14ac:dyDescent="0.35">
      <c r="A166" t="s">
        <v>172</v>
      </c>
      <c r="B166">
        <v>2</v>
      </c>
      <c r="C166">
        <v>25</v>
      </c>
      <c r="D166">
        <v>639</v>
      </c>
      <c r="E166">
        <v>209</v>
      </c>
      <c r="F166">
        <v>21</v>
      </c>
      <c r="H166">
        <v>896</v>
      </c>
      <c r="I166" t="str">
        <f t="shared" si="2"/>
        <v>Medium</v>
      </c>
    </row>
    <row r="167" spans="1:9" x14ac:dyDescent="0.35">
      <c r="A167" t="s">
        <v>173</v>
      </c>
      <c r="C167">
        <v>13</v>
      </c>
      <c r="D167">
        <v>92</v>
      </c>
      <c r="E167">
        <v>74</v>
      </c>
      <c r="F167">
        <v>24</v>
      </c>
      <c r="H167">
        <v>203</v>
      </c>
      <c r="I167" t="str">
        <f t="shared" si="2"/>
        <v>Medium</v>
      </c>
    </row>
    <row r="168" spans="1:9" x14ac:dyDescent="0.35">
      <c r="A168" t="s">
        <v>174</v>
      </c>
      <c r="D168">
        <v>29</v>
      </c>
      <c r="E168">
        <v>9</v>
      </c>
      <c r="H168">
        <v>38</v>
      </c>
      <c r="I168" t="str">
        <f t="shared" si="2"/>
        <v>Medium</v>
      </c>
    </row>
    <row r="169" spans="1:9" x14ac:dyDescent="0.35">
      <c r="A169" t="s">
        <v>175</v>
      </c>
      <c r="D169">
        <v>3</v>
      </c>
      <c r="H169">
        <v>3</v>
      </c>
      <c r="I169" t="str">
        <f t="shared" si="2"/>
        <v>Medium</v>
      </c>
    </row>
    <row r="170" spans="1:9" x14ac:dyDescent="0.35">
      <c r="A170" t="s">
        <v>176</v>
      </c>
      <c r="B170">
        <v>2</v>
      </c>
      <c r="C170">
        <v>58</v>
      </c>
      <c r="D170">
        <v>252</v>
      </c>
      <c r="E170">
        <v>56</v>
      </c>
      <c r="F170">
        <v>7</v>
      </c>
      <c r="H170">
        <v>375</v>
      </c>
      <c r="I170" t="str">
        <f t="shared" si="2"/>
        <v>Medium</v>
      </c>
    </row>
    <row r="171" spans="1:9" x14ac:dyDescent="0.35">
      <c r="A171" t="s">
        <v>177</v>
      </c>
      <c r="B171">
        <v>3</v>
      </c>
      <c r="C171">
        <v>2</v>
      </c>
      <c r="D171">
        <v>13</v>
      </c>
      <c r="E171">
        <v>2</v>
      </c>
      <c r="F171">
        <v>1</v>
      </c>
      <c r="H171">
        <v>21</v>
      </c>
      <c r="I171" t="str">
        <f t="shared" si="2"/>
        <v>Medium</v>
      </c>
    </row>
    <row r="172" spans="1:9" x14ac:dyDescent="0.35">
      <c r="A172" t="s">
        <v>178</v>
      </c>
      <c r="B172">
        <v>5</v>
      </c>
      <c r="C172">
        <v>95</v>
      </c>
      <c r="D172">
        <v>224</v>
      </c>
      <c r="E172">
        <v>53</v>
      </c>
      <c r="F172">
        <v>4</v>
      </c>
      <c r="H172">
        <v>381</v>
      </c>
      <c r="I172" t="str">
        <f t="shared" si="2"/>
        <v>Medium</v>
      </c>
    </row>
    <row r="173" spans="1:9" x14ac:dyDescent="0.35">
      <c r="A173" t="s">
        <v>179</v>
      </c>
      <c r="C173">
        <v>5</v>
      </c>
      <c r="D173">
        <v>10</v>
      </c>
      <c r="E173">
        <v>6</v>
      </c>
      <c r="F173">
        <v>4</v>
      </c>
      <c r="H173">
        <v>25</v>
      </c>
      <c r="I173" t="str">
        <f t="shared" si="2"/>
        <v>Medium</v>
      </c>
    </row>
    <row r="174" spans="1:9" x14ac:dyDescent="0.35">
      <c r="A174" t="s">
        <v>180</v>
      </c>
      <c r="E174">
        <v>1</v>
      </c>
      <c r="H174">
        <v>1</v>
      </c>
      <c r="I174" t="str">
        <f t="shared" si="2"/>
        <v>Low</v>
      </c>
    </row>
    <row r="175" spans="1:9" x14ac:dyDescent="0.35">
      <c r="A175" t="s">
        <v>181</v>
      </c>
      <c r="D175">
        <v>3</v>
      </c>
      <c r="H175">
        <v>3</v>
      </c>
      <c r="I175" t="str">
        <f t="shared" si="2"/>
        <v>Medium</v>
      </c>
    </row>
    <row r="176" spans="1:9" x14ac:dyDescent="0.35">
      <c r="A176" t="s">
        <v>182</v>
      </c>
      <c r="B176">
        <v>7</v>
      </c>
      <c r="C176">
        <v>89</v>
      </c>
      <c r="D176">
        <v>362</v>
      </c>
      <c r="E176">
        <v>43</v>
      </c>
      <c r="H176">
        <v>501</v>
      </c>
      <c r="I176" t="str">
        <f t="shared" si="2"/>
        <v>Medium</v>
      </c>
    </row>
    <row r="177" spans="1:9" x14ac:dyDescent="0.35">
      <c r="A177" t="s">
        <v>183</v>
      </c>
      <c r="C177">
        <v>51</v>
      </c>
      <c r="D177">
        <v>261</v>
      </c>
      <c r="E177">
        <v>41</v>
      </c>
      <c r="F177">
        <v>3</v>
      </c>
      <c r="H177">
        <v>356</v>
      </c>
      <c r="I177" t="str">
        <f t="shared" si="2"/>
        <v>Medium</v>
      </c>
    </row>
    <row r="178" spans="1:9" x14ac:dyDescent="0.35">
      <c r="A178" t="s">
        <v>184</v>
      </c>
      <c r="C178">
        <v>1</v>
      </c>
      <c r="D178">
        <v>308</v>
      </c>
      <c r="E178">
        <v>47</v>
      </c>
      <c r="F178">
        <v>4</v>
      </c>
      <c r="H178">
        <v>360</v>
      </c>
      <c r="I178" t="str">
        <f t="shared" si="2"/>
        <v>Medium</v>
      </c>
    </row>
    <row r="179" spans="1:9" x14ac:dyDescent="0.35">
      <c r="A179" t="s">
        <v>185</v>
      </c>
      <c r="C179">
        <v>6</v>
      </c>
      <c r="D179">
        <v>3</v>
      </c>
      <c r="F179">
        <v>4</v>
      </c>
      <c r="H179">
        <v>13</v>
      </c>
      <c r="I179" t="str">
        <f t="shared" si="2"/>
        <v>High</v>
      </c>
    </row>
    <row r="180" spans="1:9" x14ac:dyDescent="0.35">
      <c r="A180" t="s">
        <v>186</v>
      </c>
      <c r="D180">
        <v>7</v>
      </c>
      <c r="E180">
        <v>3</v>
      </c>
      <c r="H180">
        <v>10</v>
      </c>
      <c r="I180" t="str">
        <f t="shared" si="2"/>
        <v>Medium</v>
      </c>
    </row>
    <row r="181" spans="1:9" x14ac:dyDescent="0.35">
      <c r="A181" t="s">
        <v>187</v>
      </c>
      <c r="F181">
        <v>5</v>
      </c>
      <c r="H181">
        <v>5</v>
      </c>
      <c r="I181" t="str">
        <f t="shared" si="2"/>
        <v>V Low</v>
      </c>
    </row>
    <row r="182" spans="1:9" x14ac:dyDescent="0.35">
      <c r="A182" t="s">
        <v>188</v>
      </c>
      <c r="B182">
        <v>11</v>
      </c>
      <c r="D182">
        <v>3</v>
      </c>
      <c r="H182">
        <v>14</v>
      </c>
      <c r="I182" t="str">
        <f t="shared" si="2"/>
        <v>Urgent</v>
      </c>
    </row>
    <row r="183" spans="1:9" x14ac:dyDescent="0.35">
      <c r="A183" t="s">
        <v>189</v>
      </c>
      <c r="C183">
        <v>1</v>
      </c>
      <c r="H183">
        <v>1</v>
      </c>
      <c r="I183" t="str">
        <f t="shared" si="2"/>
        <v>High</v>
      </c>
    </row>
    <row r="184" spans="1:9" x14ac:dyDescent="0.35">
      <c r="A184" t="s">
        <v>190</v>
      </c>
      <c r="B184">
        <v>1</v>
      </c>
      <c r="D184">
        <v>2</v>
      </c>
      <c r="H184">
        <v>3</v>
      </c>
      <c r="I184" t="str">
        <f t="shared" si="2"/>
        <v>Medium</v>
      </c>
    </row>
    <row r="185" spans="1:9" x14ac:dyDescent="0.35">
      <c r="A185" t="s">
        <v>191</v>
      </c>
      <c r="D185">
        <v>5</v>
      </c>
      <c r="E185">
        <v>1</v>
      </c>
      <c r="H185">
        <v>6</v>
      </c>
      <c r="I185" t="str">
        <f t="shared" si="2"/>
        <v>Medium</v>
      </c>
    </row>
    <row r="186" spans="1:9" x14ac:dyDescent="0.35">
      <c r="A186" t="s">
        <v>192</v>
      </c>
      <c r="D186">
        <v>1</v>
      </c>
      <c r="H186">
        <v>1</v>
      </c>
      <c r="I186" t="str">
        <f t="shared" si="2"/>
        <v>Medium</v>
      </c>
    </row>
    <row r="187" spans="1:9" x14ac:dyDescent="0.35">
      <c r="A187" t="s">
        <v>193</v>
      </c>
      <c r="C187">
        <v>2</v>
      </c>
      <c r="D187">
        <v>4</v>
      </c>
      <c r="H187">
        <v>6</v>
      </c>
      <c r="I187" t="str">
        <f t="shared" si="2"/>
        <v>Medium</v>
      </c>
    </row>
    <row r="188" spans="1:9" x14ac:dyDescent="0.35">
      <c r="A188" t="s">
        <v>194</v>
      </c>
      <c r="D188">
        <v>6</v>
      </c>
      <c r="H188">
        <v>6</v>
      </c>
      <c r="I188" t="str">
        <f t="shared" si="2"/>
        <v>Medium</v>
      </c>
    </row>
    <row r="189" spans="1:9" x14ac:dyDescent="0.35">
      <c r="A189" t="s">
        <v>195</v>
      </c>
      <c r="C189">
        <v>3</v>
      </c>
      <c r="D189">
        <v>3</v>
      </c>
      <c r="H189">
        <v>6</v>
      </c>
      <c r="I189" t="str">
        <f t="shared" si="2"/>
        <v>High</v>
      </c>
    </row>
    <row r="190" spans="1:9" x14ac:dyDescent="0.35">
      <c r="A190" t="s">
        <v>196</v>
      </c>
      <c r="C190">
        <v>10</v>
      </c>
      <c r="D190">
        <v>3</v>
      </c>
      <c r="E190">
        <v>1</v>
      </c>
      <c r="H190">
        <v>14</v>
      </c>
      <c r="I190" t="str">
        <f t="shared" si="2"/>
        <v>High</v>
      </c>
    </row>
    <row r="191" spans="1:9" x14ac:dyDescent="0.35">
      <c r="A191" t="s">
        <v>197</v>
      </c>
      <c r="C191">
        <v>2</v>
      </c>
      <c r="H191">
        <v>2</v>
      </c>
      <c r="I191" t="str">
        <f t="shared" si="2"/>
        <v>High</v>
      </c>
    </row>
    <row r="192" spans="1:9" x14ac:dyDescent="0.35">
      <c r="A192" t="s">
        <v>198</v>
      </c>
      <c r="B192">
        <v>2</v>
      </c>
      <c r="C192">
        <v>26</v>
      </c>
      <c r="D192">
        <v>37</v>
      </c>
      <c r="H192">
        <v>65</v>
      </c>
      <c r="I192" t="str">
        <f t="shared" si="2"/>
        <v>Medium</v>
      </c>
    </row>
    <row r="193" spans="1:9" x14ac:dyDescent="0.35">
      <c r="A193" t="s">
        <v>199</v>
      </c>
      <c r="D193">
        <v>1</v>
      </c>
      <c r="H193">
        <v>1</v>
      </c>
      <c r="I193" t="str">
        <f t="shared" si="2"/>
        <v>Medium</v>
      </c>
    </row>
    <row r="194" spans="1:9" x14ac:dyDescent="0.35">
      <c r="A194" t="s">
        <v>200</v>
      </c>
      <c r="D194">
        <v>1</v>
      </c>
      <c r="H194">
        <v>1</v>
      </c>
      <c r="I194" t="str">
        <f t="shared" si="2"/>
        <v>Medium</v>
      </c>
    </row>
    <row r="195" spans="1:9" x14ac:dyDescent="0.35">
      <c r="A195" t="s">
        <v>201</v>
      </c>
      <c r="C195">
        <v>12</v>
      </c>
      <c r="D195">
        <v>20</v>
      </c>
      <c r="E195">
        <v>20</v>
      </c>
      <c r="H195">
        <v>52</v>
      </c>
      <c r="I195" t="str">
        <f t="shared" ref="I195:I255" si="3">_xlfn.XLOOKUP(MAX(B195:F195),B195:F195,$B$1:$F$1)</f>
        <v>Medium</v>
      </c>
    </row>
    <row r="196" spans="1:9" x14ac:dyDescent="0.35">
      <c r="A196" t="s">
        <v>202</v>
      </c>
      <c r="C196">
        <v>1</v>
      </c>
      <c r="F196">
        <v>1</v>
      </c>
      <c r="H196">
        <v>2</v>
      </c>
      <c r="I196" t="str">
        <f t="shared" si="3"/>
        <v>High</v>
      </c>
    </row>
    <row r="197" spans="1:9" x14ac:dyDescent="0.35">
      <c r="A197" t="s">
        <v>203</v>
      </c>
      <c r="C197">
        <v>2</v>
      </c>
      <c r="H197">
        <v>2</v>
      </c>
      <c r="I197" t="str">
        <f t="shared" si="3"/>
        <v>High</v>
      </c>
    </row>
    <row r="198" spans="1:9" x14ac:dyDescent="0.35">
      <c r="A198" t="s">
        <v>204</v>
      </c>
      <c r="C198">
        <v>1</v>
      </c>
      <c r="D198">
        <v>4</v>
      </c>
      <c r="E198">
        <v>1</v>
      </c>
      <c r="H198">
        <v>6</v>
      </c>
      <c r="I198" t="str">
        <f t="shared" si="3"/>
        <v>Medium</v>
      </c>
    </row>
    <row r="199" spans="1:9" x14ac:dyDescent="0.35">
      <c r="A199" t="s">
        <v>205</v>
      </c>
      <c r="C199">
        <v>1</v>
      </c>
      <c r="D199">
        <v>13</v>
      </c>
      <c r="E199">
        <v>2</v>
      </c>
      <c r="H199">
        <v>16</v>
      </c>
      <c r="I199" t="str">
        <f t="shared" si="3"/>
        <v>Medium</v>
      </c>
    </row>
    <row r="200" spans="1:9" x14ac:dyDescent="0.35">
      <c r="A200" t="s">
        <v>206</v>
      </c>
      <c r="B200">
        <v>1</v>
      </c>
      <c r="C200">
        <v>3</v>
      </c>
      <c r="D200">
        <v>24</v>
      </c>
      <c r="E200">
        <v>3</v>
      </c>
      <c r="H200">
        <v>31</v>
      </c>
      <c r="I200" t="str">
        <f t="shared" si="3"/>
        <v>Medium</v>
      </c>
    </row>
    <row r="201" spans="1:9" x14ac:dyDescent="0.35">
      <c r="A201" t="s">
        <v>207</v>
      </c>
      <c r="D201">
        <v>15</v>
      </c>
      <c r="E201">
        <v>2</v>
      </c>
      <c r="H201">
        <v>17</v>
      </c>
      <c r="I201" t="str">
        <f t="shared" si="3"/>
        <v>Medium</v>
      </c>
    </row>
    <row r="202" spans="1:9" s="6" customFormat="1" x14ac:dyDescent="0.35">
      <c r="A202" s="6" t="s">
        <v>208</v>
      </c>
      <c r="B202" s="6">
        <v>3</v>
      </c>
      <c r="C202" s="6">
        <v>9</v>
      </c>
      <c r="D202" s="6">
        <v>2</v>
      </c>
      <c r="H202" s="6">
        <v>14</v>
      </c>
      <c r="I202" s="6" t="str">
        <f t="shared" si="3"/>
        <v>High</v>
      </c>
    </row>
    <row r="203" spans="1:9" x14ac:dyDescent="0.35">
      <c r="A203" t="s">
        <v>209</v>
      </c>
      <c r="E203">
        <v>1</v>
      </c>
      <c r="H203">
        <v>1</v>
      </c>
      <c r="I203" t="str">
        <f t="shared" si="3"/>
        <v>Low</v>
      </c>
    </row>
    <row r="204" spans="1:9" x14ac:dyDescent="0.35">
      <c r="A204" t="s">
        <v>210</v>
      </c>
      <c r="D204">
        <v>1</v>
      </c>
      <c r="H204">
        <v>1</v>
      </c>
      <c r="I204" t="str">
        <f t="shared" si="3"/>
        <v>Medium</v>
      </c>
    </row>
    <row r="205" spans="1:9" x14ac:dyDescent="0.35">
      <c r="A205" t="s">
        <v>211</v>
      </c>
      <c r="D205">
        <v>4</v>
      </c>
      <c r="H205">
        <v>4</v>
      </c>
      <c r="I205" t="str">
        <f t="shared" si="3"/>
        <v>Medium</v>
      </c>
    </row>
    <row r="206" spans="1:9" x14ac:dyDescent="0.35">
      <c r="A206" t="s">
        <v>212</v>
      </c>
      <c r="D206">
        <v>2</v>
      </c>
      <c r="H206">
        <v>2</v>
      </c>
      <c r="I206" t="str">
        <f t="shared" si="3"/>
        <v>Medium</v>
      </c>
    </row>
    <row r="207" spans="1:9" x14ac:dyDescent="0.35">
      <c r="A207" t="s">
        <v>213</v>
      </c>
      <c r="D207">
        <v>2</v>
      </c>
      <c r="H207">
        <v>2</v>
      </c>
      <c r="I207" t="str">
        <f t="shared" si="3"/>
        <v>Medium</v>
      </c>
    </row>
    <row r="208" spans="1:9" x14ac:dyDescent="0.35">
      <c r="A208" t="s">
        <v>214</v>
      </c>
      <c r="D208">
        <v>2</v>
      </c>
      <c r="H208">
        <v>2</v>
      </c>
      <c r="I208" t="str">
        <f t="shared" si="3"/>
        <v>Medium</v>
      </c>
    </row>
    <row r="209" spans="1:9" x14ac:dyDescent="0.35">
      <c r="A209" t="s">
        <v>215</v>
      </c>
      <c r="D209">
        <v>1</v>
      </c>
      <c r="H209">
        <v>1</v>
      </c>
      <c r="I209" t="str">
        <f t="shared" si="3"/>
        <v>Medium</v>
      </c>
    </row>
    <row r="210" spans="1:9" x14ac:dyDescent="0.35">
      <c r="A210" t="s">
        <v>216</v>
      </c>
      <c r="B210">
        <v>7</v>
      </c>
      <c r="C210">
        <v>87</v>
      </c>
      <c r="D210">
        <v>104</v>
      </c>
      <c r="E210">
        <v>64</v>
      </c>
      <c r="H210">
        <v>262</v>
      </c>
      <c r="I210" t="str">
        <f t="shared" si="3"/>
        <v>Medium</v>
      </c>
    </row>
    <row r="211" spans="1:9" x14ac:dyDescent="0.35">
      <c r="A211" t="s">
        <v>217</v>
      </c>
      <c r="B211">
        <v>51</v>
      </c>
      <c r="C211">
        <v>71</v>
      </c>
      <c r="D211">
        <v>110</v>
      </c>
      <c r="E211">
        <v>7</v>
      </c>
      <c r="H211">
        <v>239</v>
      </c>
      <c r="I211" t="str">
        <f t="shared" si="3"/>
        <v>Medium</v>
      </c>
    </row>
    <row r="212" spans="1:9" x14ac:dyDescent="0.35">
      <c r="A212" t="s">
        <v>218</v>
      </c>
      <c r="C212">
        <v>1</v>
      </c>
      <c r="H212">
        <v>1</v>
      </c>
      <c r="I212" t="str">
        <f t="shared" si="3"/>
        <v>High</v>
      </c>
    </row>
    <row r="213" spans="1:9" x14ac:dyDescent="0.35">
      <c r="A213" t="s">
        <v>219</v>
      </c>
      <c r="B213">
        <v>3</v>
      </c>
      <c r="C213">
        <v>3</v>
      </c>
      <c r="D213">
        <v>13</v>
      </c>
      <c r="H213">
        <v>19</v>
      </c>
      <c r="I213" t="str">
        <f t="shared" si="3"/>
        <v>Medium</v>
      </c>
    </row>
    <row r="214" spans="1:9" x14ac:dyDescent="0.35">
      <c r="A214" t="s">
        <v>220</v>
      </c>
      <c r="C214">
        <v>1</v>
      </c>
      <c r="D214">
        <v>1</v>
      </c>
      <c r="H214">
        <v>2</v>
      </c>
      <c r="I214" t="str">
        <f t="shared" si="3"/>
        <v>High</v>
      </c>
    </row>
    <row r="215" spans="1:9" x14ac:dyDescent="0.35">
      <c r="A215" t="s">
        <v>221</v>
      </c>
      <c r="C215">
        <v>1</v>
      </c>
      <c r="H215">
        <v>1</v>
      </c>
      <c r="I215" t="str">
        <f t="shared" si="3"/>
        <v>High</v>
      </c>
    </row>
    <row r="216" spans="1:9" x14ac:dyDescent="0.35">
      <c r="A216" t="s">
        <v>222</v>
      </c>
      <c r="C216">
        <v>1</v>
      </c>
      <c r="H216">
        <v>1</v>
      </c>
      <c r="I216" t="str">
        <f t="shared" si="3"/>
        <v>High</v>
      </c>
    </row>
    <row r="217" spans="1:9" x14ac:dyDescent="0.35">
      <c r="A217" t="s">
        <v>223</v>
      </c>
      <c r="C217">
        <v>2</v>
      </c>
      <c r="H217">
        <v>2</v>
      </c>
      <c r="I217" t="str">
        <f t="shared" si="3"/>
        <v>High</v>
      </c>
    </row>
    <row r="218" spans="1:9" x14ac:dyDescent="0.35">
      <c r="A218" t="s">
        <v>224</v>
      </c>
      <c r="B218">
        <v>1</v>
      </c>
      <c r="D218">
        <v>1</v>
      </c>
      <c r="H218">
        <v>2</v>
      </c>
      <c r="I218" t="str">
        <f t="shared" si="3"/>
        <v>Urgent</v>
      </c>
    </row>
    <row r="219" spans="1:9" x14ac:dyDescent="0.35">
      <c r="A219" t="s">
        <v>225</v>
      </c>
      <c r="C219">
        <v>1</v>
      </c>
      <c r="H219">
        <v>1</v>
      </c>
      <c r="I219" t="str">
        <f t="shared" si="3"/>
        <v>High</v>
      </c>
    </row>
    <row r="220" spans="1:9" x14ac:dyDescent="0.35">
      <c r="A220" t="s">
        <v>226</v>
      </c>
      <c r="C220">
        <v>1</v>
      </c>
      <c r="H220">
        <v>1</v>
      </c>
      <c r="I220" t="str">
        <f t="shared" si="3"/>
        <v>High</v>
      </c>
    </row>
    <row r="221" spans="1:9" x14ac:dyDescent="0.35">
      <c r="A221" t="s">
        <v>227</v>
      </c>
      <c r="B221">
        <v>1</v>
      </c>
      <c r="C221">
        <v>1</v>
      </c>
      <c r="H221">
        <v>2</v>
      </c>
      <c r="I221" t="str">
        <f t="shared" si="3"/>
        <v>Urgent</v>
      </c>
    </row>
    <row r="222" spans="1:9" x14ac:dyDescent="0.35">
      <c r="A222" t="s">
        <v>228</v>
      </c>
      <c r="B222">
        <v>1</v>
      </c>
      <c r="C222">
        <v>1</v>
      </c>
      <c r="H222">
        <v>2</v>
      </c>
      <c r="I222" t="str">
        <f t="shared" si="3"/>
        <v>Urgent</v>
      </c>
    </row>
    <row r="223" spans="1:9" x14ac:dyDescent="0.35">
      <c r="A223" t="s">
        <v>229</v>
      </c>
      <c r="D223">
        <v>2</v>
      </c>
      <c r="H223">
        <v>2</v>
      </c>
      <c r="I223" t="str">
        <f t="shared" si="3"/>
        <v>Medium</v>
      </c>
    </row>
    <row r="224" spans="1:9" x14ac:dyDescent="0.35">
      <c r="A224" t="s">
        <v>230</v>
      </c>
      <c r="D224">
        <v>1</v>
      </c>
      <c r="H224">
        <v>1</v>
      </c>
      <c r="I224" t="str">
        <f t="shared" si="3"/>
        <v>Medium</v>
      </c>
    </row>
    <row r="225" spans="1:9" x14ac:dyDescent="0.35">
      <c r="A225" s="6" t="s">
        <v>231</v>
      </c>
      <c r="B225">
        <v>12</v>
      </c>
      <c r="C225">
        <v>42</v>
      </c>
      <c r="D225">
        <v>18</v>
      </c>
      <c r="H225">
        <v>72</v>
      </c>
      <c r="I225" t="str">
        <f t="shared" si="3"/>
        <v>High</v>
      </c>
    </row>
    <row r="226" spans="1:9" x14ac:dyDescent="0.35">
      <c r="A226" s="6" t="s">
        <v>232</v>
      </c>
      <c r="B226">
        <v>1</v>
      </c>
      <c r="C226">
        <v>11</v>
      </c>
      <c r="D226">
        <v>3</v>
      </c>
      <c r="E226">
        <v>4</v>
      </c>
      <c r="F226">
        <v>1</v>
      </c>
      <c r="H226">
        <v>20</v>
      </c>
      <c r="I226" t="str">
        <f t="shared" si="3"/>
        <v>High</v>
      </c>
    </row>
    <row r="227" spans="1:9" x14ac:dyDescent="0.35">
      <c r="A227" s="6" t="s">
        <v>233</v>
      </c>
      <c r="C227">
        <v>1</v>
      </c>
      <c r="H227">
        <v>1</v>
      </c>
      <c r="I227" t="str">
        <f t="shared" si="3"/>
        <v>High</v>
      </c>
    </row>
    <row r="228" spans="1:9" x14ac:dyDescent="0.35">
      <c r="A228" t="s">
        <v>234</v>
      </c>
      <c r="D228">
        <v>1</v>
      </c>
      <c r="H228">
        <v>1</v>
      </c>
      <c r="I228" t="str">
        <f t="shared" si="3"/>
        <v>Medium</v>
      </c>
    </row>
    <row r="229" spans="1:9" x14ac:dyDescent="0.35">
      <c r="A229" t="s">
        <v>235</v>
      </c>
      <c r="D229">
        <v>1</v>
      </c>
      <c r="H229">
        <v>1</v>
      </c>
      <c r="I229" t="str">
        <f t="shared" si="3"/>
        <v>Medium</v>
      </c>
    </row>
    <row r="230" spans="1:9" x14ac:dyDescent="0.35">
      <c r="A230" t="s">
        <v>236</v>
      </c>
      <c r="C230">
        <v>1</v>
      </c>
      <c r="D230">
        <v>3</v>
      </c>
      <c r="H230">
        <v>4</v>
      </c>
      <c r="I230" t="str">
        <f t="shared" si="3"/>
        <v>Medium</v>
      </c>
    </row>
    <row r="231" spans="1:9" x14ac:dyDescent="0.35">
      <c r="A231" s="6" t="s">
        <v>237</v>
      </c>
      <c r="B231">
        <v>1</v>
      </c>
      <c r="C231">
        <v>19</v>
      </c>
      <c r="D231">
        <v>29</v>
      </c>
      <c r="E231">
        <v>11</v>
      </c>
      <c r="H231">
        <v>60</v>
      </c>
      <c r="I231" t="str">
        <f t="shared" si="3"/>
        <v>Medium</v>
      </c>
    </row>
    <row r="232" spans="1:9" x14ac:dyDescent="0.35">
      <c r="A232" s="6" t="s">
        <v>238</v>
      </c>
      <c r="D232">
        <v>3</v>
      </c>
      <c r="F232">
        <v>1</v>
      </c>
      <c r="H232">
        <v>4</v>
      </c>
      <c r="I232" t="str">
        <f t="shared" si="3"/>
        <v>Medium</v>
      </c>
    </row>
    <row r="233" spans="1:9" x14ac:dyDescent="0.35">
      <c r="A233" s="6" t="s">
        <v>239</v>
      </c>
      <c r="D233">
        <v>1</v>
      </c>
      <c r="H233">
        <v>1</v>
      </c>
      <c r="I233" t="str">
        <f t="shared" si="3"/>
        <v>Medium</v>
      </c>
    </row>
    <row r="234" spans="1:9" x14ac:dyDescent="0.35">
      <c r="A234" t="s">
        <v>240</v>
      </c>
      <c r="B234">
        <v>1</v>
      </c>
      <c r="C234">
        <v>3</v>
      </c>
      <c r="D234">
        <v>9</v>
      </c>
      <c r="H234">
        <v>13</v>
      </c>
      <c r="I234" t="str">
        <f t="shared" si="3"/>
        <v>Medium</v>
      </c>
    </row>
    <row r="235" spans="1:9" x14ac:dyDescent="0.35">
      <c r="A235" s="6" t="s">
        <v>241</v>
      </c>
      <c r="C235">
        <v>1</v>
      </c>
      <c r="H235">
        <v>1</v>
      </c>
      <c r="I235" t="str">
        <f t="shared" si="3"/>
        <v>High</v>
      </c>
    </row>
    <row r="236" spans="1:9" x14ac:dyDescent="0.35">
      <c r="A236" t="s">
        <v>242</v>
      </c>
      <c r="D236">
        <v>1</v>
      </c>
      <c r="H236">
        <v>1</v>
      </c>
      <c r="I236" t="str">
        <f t="shared" si="3"/>
        <v>Medium</v>
      </c>
    </row>
    <row r="237" spans="1:9" x14ac:dyDescent="0.35">
      <c r="A237" t="s">
        <v>243</v>
      </c>
      <c r="C237">
        <v>4</v>
      </c>
      <c r="D237">
        <v>3</v>
      </c>
      <c r="H237">
        <v>7</v>
      </c>
      <c r="I237" t="str">
        <f t="shared" si="3"/>
        <v>High</v>
      </c>
    </row>
    <row r="238" spans="1:9" x14ac:dyDescent="0.35">
      <c r="A238" t="s">
        <v>244</v>
      </c>
      <c r="C238">
        <v>1</v>
      </c>
      <c r="H238">
        <v>1</v>
      </c>
      <c r="I238" t="str">
        <f t="shared" si="3"/>
        <v>High</v>
      </c>
    </row>
    <row r="239" spans="1:9" x14ac:dyDescent="0.35">
      <c r="A239" t="s">
        <v>245</v>
      </c>
      <c r="C239">
        <v>1</v>
      </c>
      <c r="D239">
        <v>1</v>
      </c>
      <c r="E239">
        <v>2</v>
      </c>
      <c r="F239">
        <v>1</v>
      </c>
      <c r="H239">
        <v>5</v>
      </c>
      <c r="I239" t="str">
        <f t="shared" si="3"/>
        <v>Low</v>
      </c>
    </row>
    <row r="240" spans="1:9" x14ac:dyDescent="0.35">
      <c r="A240" t="s">
        <v>246</v>
      </c>
      <c r="C240">
        <v>1</v>
      </c>
      <c r="D240">
        <v>1</v>
      </c>
      <c r="H240">
        <v>2</v>
      </c>
      <c r="I240" t="str">
        <f t="shared" si="3"/>
        <v>High</v>
      </c>
    </row>
    <row r="241" spans="1:9" x14ac:dyDescent="0.35">
      <c r="A241" t="s">
        <v>247</v>
      </c>
      <c r="C241">
        <v>23</v>
      </c>
      <c r="D241">
        <v>19</v>
      </c>
      <c r="E241">
        <v>2</v>
      </c>
      <c r="H241">
        <v>44</v>
      </c>
      <c r="I241" t="str">
        <f t="shared" si="3"/>
        <v>High</v>
      </c>
    </row>
    <row r="242" spans="1:9" x14ac:dyDescent="0.35">
      <c r="A242" t="s">
        <v>248</v>
      </c>
      <c r="C242">
        <v>4</v>
      </c>
      <c r="D242">
        <v>5</v>
      </c>
      <c r="E242">
        <v>8</v>
      </c>
      <c r="H242">
        <v>17</v>
      </c>
      <c r="I242" t="str">
        <f t="shared" si="3"/>
        <v>Low</v>
      </c>
    </row>
    <row r="243" spans="1:9" x14ac:dyDescent="0.35">
      <c r="A243" t="s">
        <v>249</v>
      </c>
      <c r="D243">
        <v>1</v>
      </c>
      <c r="H243">
        <v>1</v>
      </c>
      <c r="I243" t="str">
        <f t="shared" si="3"/>
        <v>Medium</v>
      </c>
    </row>
    <row r="244" spans="1:9" x14ac:dyDescent="0.35">
      <c r="A244" t="s">
        <v>250</v>
      </c>
      <c r="D244">
        <v>1</v>
      </c>
      <c r="H244">
        <v>1</v>
      </c>
      <c r="I244" t="str">
        <f t="shared" si="3"/>
        <v>Medium</v>
      </c>
    </row>
    <row r="245" spans="1:9" x14ac:dyDescent="0.35">
      <c r="A245" t="s">
        <v>251</v>
      </c>
      <c r="C245">
        <v>1</v>
      </c>
      <c r="H245">
        <v>1</v>
      </c>
      <c r="I245" t="str">
        <f t="shared" si="3"/>
        <v>High</v>
      </c>
    </row>
    <row r="246" spans="1:9" x14ac:dyDescent="0.35">
      <c r="A246" t="s">
        <v>252</v>
      </c>
      <c r="D246">
        <v>1</v>
      </c>
      <c r="E246">
        <v>1</v>
      </c>
      <c r="H246">
        <v>2</v>
      </c>
      <c r="I246" t="str">
        <f t="shared" si="3"/>
        <v>Medium</v>
      </c>
    </row>
    <row r="247" spans="1:9" x14ac:dyDescent="0.35">
      <c r="A247" t="s">
        <v>253</v>
      </c>
      <c r="D247">
        <v>1</v>
      </c>
      <c r="H247">
        <v>1</v>
      </c>
      <c r="I247" t="str">
        <f t="shared" si="3"/>
        <v>Medium</v>
      </c>
    </row>
    <row r="248" spans="1:9" x14ac:dyDescent="0.35">
      <c r="A248" t="s">
        <v>254</v>
      </c>
      <c r="B248">
        <v>2</v>
      </c>
      <c r="D248">
        <v>2</v>
      </c>
      <c r="H248">
        <v>4</v>
      </c>
      <c r="I248" t="str">
        <f t="shared" si="3"/>
        <v>Urgent</v>
      </c>
    </row>
    <row r="249" spans="1:9" x14ac:dyDescent="0.35">
      <c r="A249" t="s">
        <v>255</v>
      </c>
      <c r="D249">
        <v>1</v>
      </c>
      <c r="E249">
        <v>3</v>
      </c>
      <c r="H249">
        <v>4</v>
      </c>
      <c r="I249" t="str">
        <f t="shared" si="3"/>
        <v>Low</v>
      </c>
    </row>
    <row r="250" spans="1:9" x14ac:dyDescent="0.35">
      <c r="A250" t="s">
        <v>256</v>
      </c>
      <c r="E250">
        <v>2</v>
      </c>
      <c r="H250">
        <v>2</v>
      </c>
      <c r="I250" t="str">
        <f t="shared" si="3"/>
        <v>Low</v>
      </c>
    </row>
    <row r="251" spans="1:9" x14ac:dyDescent="0.35">
      <c r="A251" t="s">
        <v>257</v>
      </c>
      <c r="B251">
        <v>1</v>
      </c>
      <c r="C251">
        <v>1</v>
      </c>
      <c r="D251">
        <v>7</v>
      </c>
      <c r="E251">
        <v>1</v>
      </c>
      <c r="H251">
        <v>10</v>
      </c>
      <c r="I251" t="str">
        <f t="shared" si="3"/>
        <v>Medium</v>
      </c>
    </row>
    <row r="252" spans="1:9" x14ac:dyDescent="0.35">
      <c r="A252" t="s">
        <v>258</v>
      </c>
      <c r="D252">
        <v>2</v>
      </c>
      <c r="H252">
        <v>2</v>
      </c>
      <c r="I252" t="str">
        <f t="shared" si="3"/>
        <v>Medium</v>
      </c>
    </row>
    <row r="253" spans="1:9" x14ac:dyDescent="0.35">
      <c r="A253" t="s">
        <v>259</v>
      </c>
      <c r="B253">
        <v>1</v>
      </c>
      <c r="C253">
        <v>73</v>
      </c>
      <c r="D253">
        <v>359</v>
      </c>
      <c r="E253">
        <v>112</v>
      </c>
      <c r="F253">
        <v>13</v>
      </c>
      <c r="H253">
        <v>558</v>
      </c>
      <c r="I253" t="str">
        <f t="shared" si="3"/>
        <v>Medium</v>
      </c>
    </row>
    <row r="254" spans="1:9" x14ac:dyDescent="0.35">
      <c r="A254" t="s">
        <v>260</v>
      </c>
      <c r="B254">
        <v>3</v>
      </c>
      <c r="C254">
        <v>142</v>
      </c>
      <c r="D254">
        <v>231</v>
      </c>
      <c r="E254">
        <v>140</v>
      </c>
      <c r="F254">
        <v>1</v>
      </c>
      <c r="H254">
        <v>517</v>
      </c>
      <c r="I254" t="str">
        <f t="shared" si="3"/>
        <v>Medium</v>
      </c>
    </row>
    <row r="255" spans="1:9" x14ac:dyDescent="0.35">
      <c r="A255" t="s">
        <v>261</v>
      </c>
      <c r="E255">
        <v>1</v>
      </c>
      <c r="H255">
        <v>1</v>
      </c>
      <c r="I255" t="str">
        <f t="shared" si="3"/>
        <v>Low</v>
      </c>
    </row>
    <row r="256" spans="1:9" x14ac:dyDescent="0.35">
      <c r="A256" t="s">
        <v>6</v>
      </c>
      <c r="B256">
        <v>9500</v>
      </c>
      <c r="C256">
        <v>5950</v>
      </c>
      <c r="D256">
        <v>12995</v>
      </c>
      <c r="E256">
        <v>4001</v>
      </c>
      <c r="F256">
        <v>496</v>
      </c>
      <c r="H256">
        <v>32942</v>
      </c>
    </row>
  </sheetData>
  <autoFilter ref="A1:I256" xr:uid="{3B41A52B-F6BC-479F-90A6-ABCC447CBD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Gallagher</dc:creator>
  <cp:lastModifiedBy>Rory O'Brien</cp:lastModifiedBy>
  <dcterms:created xsi:type="dcterms:W3CDTF">2025-09-10T14:21:51Z</dcterms:created>
  <dcterms:modified xsi:type="dcterms:W3CDTF">2025-09-16T15:24:40Z</dcterms:modified>
</cp:coreProperties>
</file>